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FelFeu00\Training material\EnergyTransmission_FelFeu_AndNen_PasPut\2025\12.11. - Short-circuit calculation, symmetrical components\"/>
    </mc:Choice>
  </mc:AlternateContent>
  <xr:revisionPtr revIDLastSave="0" documentId="13_ncr:1_{D957063C-130C-42EB-B3F9-A454F1A37AA9}" xr6:coauthVersionLast="47" xr6:coauthVersionMax="47" xr10:uidLastSave="{00000000-0000-0000-0000-000000000000}"/>
  <bookViews>
    <workbookView xWindow="28680" yWindow="-120" windowWidth="29040" windowHeight="17520" activeTab="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Short-circuit currents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16" i="8" l="1"/>
  <c r="B17" i="8" s="1"/>
  <c r="B18" i="8" s="1"/>
  <c r="B19" i="8" s="1"/>
  <c r="B9" i="8"/>
  <c r="B14" i="8" s="1"/>
  <c r="B10" i="8"/>
  <c r="B11" i="8" s="1"/>
  <c r="B3" i="8"/>
  <c r="B4" i="8" s="1"/>
  <c r="B6" i="8" s="1"/>
  <c r="B1" i="7"/>
  <c r="B2" i="7"/>
  <c r="B6" i="6"/>
  <c r="B8" i="6" s="1"/>
  <c r="B8" i="5"/>
  <c r="B7" i="5"/>
  <c r="B9" i="5" s="1"/>
  <c r="B9" i="4"/>
  <c r="B6" i="4"/>
  <c r="B1" i="4"/>
  <c r="B11" i="4" s="1"/>
  <c r="B6" i="3"/>
  <c r="B11" i="3" s="1"/>
  <c r="B1" i="3"/>
  <c r="B9" i="3"/>
  <c r="B10" i="3" s="1"/>
  <c r="B3" i="2"/>
  <c r="B6" i="2" l="1"/>
  <c r="B7" i="2" s="1"/>
  <c r="B4" i="2"/>
  <c r="B5" i="2" s="1"/>
  <c r="B21" i="8"/>
  <c r="B10" i="4"/>
  <c r="B28" i="8"/>
  <c r="B4" i="7"/>
  <c r="B5" i="7" s="1"/>
  <c r="B6" i="7" s="1"/>
  <c r="B5" i="8"/>
  <c r="B8" i="2" l="1"/>
  <c r="B29" i="8"/>
  <c r="B22" i="8"/>
  <c r="B23" i="8" s="1"/>
  <c r="B30" i="8"/>
  <c r="B25" i="8" l="1"/>
  <c r="B33" i="8" s="1"/>
  <c r="B26" i="8"/>
  <c r="B36" i="8"/>
</calcChain>
</file>

<file path=xl/sharedStrings.xml><?xml version="1.0" encoding="utf-8"?>
<sst xmlns="http://schemas.openxmlformats.org/spreadsheetml/2006/main" count="146" uniqueCount="61">
  <si>
    <t>UnQ</t>
  </si>
  <si>
    <t>c</t>
  </si>
  <si>
    <t>V</t>
  </si>
  <si>
    <t>IkQ''</t>
  </si>
  <si>
    <t>A</t>
  </si>
  <si>
    <t>ZQ</t>
  </si>
  <si>
    <t>XQ</t>
  </si>
  <si>
    <t>RQ</t>
  </si>
  <si>
    <t>SkQ''</t>
  </si>
  <si>
    <t>VA</t>
  </si>
  <si>
    <t>l</t>
  </si>
  <si>
    <t>m</t>
  </si>
  <si>
    <t>f</t>
  </si>
  <si>
    <t>Hz</t>
  </si>
  <si>
    <t>θe</t>
  </si>
  <si>
    <t>°C</t>
  </si>
  <si>
    <t>RL20</t>
  </si>
  <si>
    <t>RL</t>
  </si>
  <si>
    <t>α</t>
  </si>
  <si>
    <t>1/K</t>
  </si>
  <si>
    <t>Ω/km</t>
  </si>
  <si>
    <t>km</t>
  </si>
  <si>
    <t>RL'</t>
  </si>
  <si>
    <t>XL</t>
  </si>
  <si>
    <t>Lb</t>
  </si>
  <si>
    <t>PI</t>
  </si>
  <si>
    <t>H/km</t>
  </si>
  <si>
    <t>Un</t>
  </si>
  <si>
    <t>kV</t>
  </si>
  <si>
    <t>SrT</t>
  </si>
  <si>
    <t>kVA</t>
  </si>
  <si>
    <t>U1r</t>
  </si>
  <si>
    <t>U2r</t>
  </si>
  <si>
    <t>uRr</t>
  </si>
  <si>
    <t>%</t>
  </si>
  <si>
    <t>ukr</t>
  </si>
  <si>
    <t>ZT</t>
  </si>
  <si>
    <t>RT</t>
  </si>
  <si>
    <t>XT</t>
  </si>
  <si>
    <t>Ω</t>
  </si>
  <si>
    <t>Z2</t>
  </si>
  <si>
    <t>Z2T</t>
  </si>
  <si>
    <t>SrM</t>
  </si>
  <si>
    <t>ZM</t>
  </si>
  <si>
    <t>RM</t>
  </si>
  <si>
    <t>XM</t>
  </si>
  <si>
    <t>Ik''</t>
  </si>
  <si>
    <t>ip</t>
  </si>
  <si>
    <t>Ik</t>
  </si>
  <si>
    <t>Ith</t>
  </si>
  <si>
    <t>Rk</t>
  </si>
  <si>
    <t>Xk</t>
  </si>
  <si>
    <t>XQt</t>
  </si>
  <si>
    <t>ZQt</t>
  </si>
  <si>
    <t>RQt</t>
  </si>
  <si>
    <t>κ</t>
  </si>
  <si>
    <t>n</t>
  </si>
  <si>
    <t>Tk</t>
  </si>
  <si>
    <t>Ik''/Ik</t>
  </si>
  <si>
    <t>s</t>
  </si>
  <si>
    <t>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</si>
</sst>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5" fontId="2" fillId="0" borderId="0" xfId="0" applyNumberFormat="1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defaultRowHeight="15" x14ac:dyDescent="0.25"/>
  <sheetData>
    <row r="1" spans="1:3" x14ac:dyDescent="0.25">
      <c r="A1" t="s">
        <v>0</v>
      </c>
      <c r="B1">
        <v>400</v>
      </c>
      <c r="C1" t="s">
        <v>2</v>
      </c>
    </row>
    <row r="2" spans="1:3" x14ac:dyDescent="0.25">
      <c r="A2" t="s">
        <v>1</v>
      </c>
      <c r="B2">
        <v>1.05</v>
      </c>
    </row>
    <row r="3" spans="1:3" x14ac:dyDescent="0.25">
      <c r="A3" t="s">
        <v>3</v>
      </c>
      <c r="B3">
        <v>500</v>
      </c>
      <c r="C3" t="s">
        <v>4</v>
      </c>
    </row>
    <row r="5" spans="1:3" x14ac:dyDescent="0.25">
      <c r="B5">
        <f>(B2*B1)/(SQRT(3)*B3)</f>
        <v>0.48497422611928565</v>
      </c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>
        <v>400</v>
      </c>
      <c r="C1" t="s">
        <v>2</v>
      </c>
    </row>
    <row r="2" spans="1:3" x14ac:dyDescent="0.25">
      <c r="A2" t="s">
        <v>1</v>
      </c>
      <c r="B2">
        <v>1.05</v>
      </c>
    </row>
    <row r="3" spans="1:3" x14ac:dyDescent="0.25">
      <c r="A3" t="s">
        <v>8</v>
      </c>
      <c r="B3">
        <f>10^6</f>
        <v>1000000</v>
      </c>
      <c r="C3" t="s">
        <v>9</v>
      </c>
    </row>
    <row r="4" spans="1:3" x14ac:dyDescent="0.25">
      <c r="B4">
        <f>B3/1000</f>
        <v>1000</v>
      </c>
      <c r="C4" t="s">
        <v>30</v>
      </c>
    </row>
    <row r="5" spans="1:3" x14ac:dyDescent="0.25">
      <c r="B5">
        <f>B4/1000</f>
        <v>1</v>
      </c>
      <c r="C5" t="s">
        <v>60</v>
      </c>
    </row>
    <row r="6" spans="1:3" x14ac:dyDescent="0.25">
      <c r="A6" t="s">
        <v>5</v>
      </c>
      <c r="B6">
        <f>(B2*B1^2)/B3</f>
        <v>0.16800000000000001</v>
      </c>
      <c r="C6" s="4" t="s">
        <v>39</v>
      </c>
    </row>
    <row r="7" spans="1:3" x14ac:dyDescent="0.25">
      <c r="A7" t="s">
        <v>7</v>
      </c>
      <c r="B7" s="3">
        <f>0.995*B6</f>
        <v>0.16716</v>
      </c>
      <c r="C7" s="4" t="s">
        <v>39</v>
      </c>
    </row>
    <row r="8" spans="1:3" x14ac:dyDescent="0.25">
      <c r="A8" t="s">
        <v>6</v>
      </c>
      <c r="B8" s="3">
        <f>0.1*B6</f>
        <v>1.6800000000000002E-2</v>
      </c>
      <c r="C8" s="4" t="s">
        <v>39</v>
      </c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A7" sqref="A7:B7"/>
    </sheetView>
  </sheetViews>
  <sheetFormatPr defaultRowHeight="15" x14ac:dyDescent="0.25"/>
  <sheetData>
    <row r="1" spans="1:3" x14ac:dyDescent="0.25">
      <c r="A1" t="s">
        <v>10</v>
      </c>
      <c r="B1" s="3">
        <f>120/1000</f>
        <v>0.12</v>
      </c>
      <c r="C1" t="s">
        <v>21</v>
      </c>
    </row>
    <row r="2" spans="1:3" x14ac:dyDescent="0.25">
      <c r="A2" t="s">
        <v>12</v>
      </c>
      <c r="B2">
        <v>50</v>
      </c>
      <c r="C2" t="s">
        <v>13</v>
      </c>
    </row>
    <row r="3" spans="1:3" x14ac:dyDescent="0.25">
      <c r="A3" s="4" t="s">
        <v>14</v>
      </c>
      <c r="B3">
        <v>70</v>
      </c>
      <c r="C3" t="s">
        <v>15</v>
      </c>
    </row>
    <row r="4" spans="1:3" x14ac:dyDescent="0.25">
      <c r="A4" s="4" t="s">
        <v>16</v>
      </c>
      <c r="B4">
        <v>0.86799999999999999</v>
      </c>
      <c r="C4" s="4" t="s">
        <v>20</v>
      </c>
    </row>
    <row r="5" spans="1:3" x14ac:dyDescent="0.25">
      <c r="A5" s="4" t="s">
        <v>18</v>
      </c>
      <c r="B5">
        <v>4.0000000000000001E-3</v>
      </c>
      <c r="C5" s="4" t="s">
        <v>19</v>
      </c>
    </row>
    <row r="6" spans="1:3" x14ac:dyDescent="0.25">
      <c r="A6" s="4" t="s">
        <v>24</v>
      </c>
      <c r="B6">
        <f>0.26/1000</f>
        <v>2.6000000000000003E-4</v>
      </c>
      <c r="C6" s="4" t="s">
        <v>26</v>
      </c>
    </row>
    <row r="7" spans="1:3" x14ac:dyDescent="0.25">
      <c r="A7" s="4" t="s">
        <v>25</v>
      </c>
      <c r="B7">
        <v>3.1415899999999999</v>
      </c>
    </row>
    <row r="9" spans="1:3" x14ac:dyDescent="0.25">
      <c r="A9" t="s">
        <v>22</v>
      </c>
      <c r="B9">
        <f>(1+B5*(B3-20))*B4</f>
        <v>1.0415999999999999</v>
      </c>
      <c r="C9" s="4" t="s">
        <v>20</v>
      </c>
    </row>
    <row r="10" spans="1:3" x14ac:dyDescent="0.25">
      <c r="A10" t="s">
        <v>17</v>
      </c>
      <c r="B10" s="2">
        <f>B9*B1</f>
        <v>0.12499199999999998</v>
      </c>
      <c r="C10" s="4" t="s">
        <v>39</v>
      </c>
    </row>
    <row r="11" spans="1:3" x14ac:dyDescent="0.25">
      <c r="A11" t="s">
        <v>23</v>
      </c>
      <c r="B11" s="2">
        <f>2*B7*B2*B6*B1</f>
        <v>9.8017607999999999E-3</v>
      </c>
      <c r="C11" s="4" t="s">
        <v>39</v>
      </c>
    </row>
  </sheetData>
  <pageMargins left="0.7" right="0.7" top="0.75" bottom="0.75" header="0.3" footer="0.3"/>
  <pageSetup paperSize="9" orientation="portrait" r:id="rId1"/>
  <headerFooter>
    <oddFooter>&amp;C_x000D_&amp;1#&amp;"Arial"&amp;8&amp;K13A10E C1 -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A2" sqref="A2:C2"/>
    </sheetView>
  </sheetViews>
  <sheetFormatPr defaultRowHeight="15" x14ac:dyDescent="0.25"/>
  <sheetData>
    <row r="1" spans="1:3" x14ac:dyDescent="0.25">
      <c r="A1" t="s">
        <v>10</v>
      </c>
      <c r="B1" s="3">
        <f>120/1000</f>
        <v>0.12</v>
      </c>
      <c r="C1" t="s">
        <v>21</v>
      </c>
    </row>
    <row r="2" spans="1:3" x14ac:dyDescent="0.25">
      <c r="A2" t="s">
        <v>12</v>
      </c>
      <c r="B2">
        <v>50</v>
      </c>
      <c r="C2" t="s">
        <v>13</v>
      </c>
    </row>
    <row r="3" spans="1:3" x14ac:dyDescent="0.25">
      <c r="A3" s="4" t="s">
        <v>14</v>
      </c>
      <c r="B3">
        <v>70</v>
      </c>
      <c r="C3" t="s">
        <v>15</v>
      </c>
    </row>
    <row r="4" spans="1:3" x14ac:dyDescent="0.25">
      <c r="A4" s="4" t="s">
        <v>16</v>
      </c>
      <c r="B4">
        <v>1.1499999999999999</v>
      </c>
      <c r="C4" s="4" t="s">
        <v>20</v>
      </c>
    </row>
    <row r="5" spans="1:3" x14ac:dyDescent="0.25">
      <c r="A5" s="4" t="s">
        <v>18</v>
      </c>
      <c r="B5">
        <v>4.0000000000000001E-3</v>
      </c>
      <c r="C5" s="4" t="s">
        <v>19</v>
      </c>
    </row>
    <row r="6" spans="1:3" x14ac:dyDescent="0.25">
      <c r="A6" s="4" t="s">
        <v>24</v>
      </c>
      <c r="B6">
        <f>0.26/1000</f>
        <v>2.6000000000000003E-4</v>
      </c>
      <c r="C6" s="4" t="s">
        <v>26</v>
      </c>
    </row>
    <row r="7" spans="1:3" x14ac:dyDescent="0.25">
      <c r="A7" s="4" t="s">
        <v>25</v>
      </c>
      <c r="B7">
        <v>3.1415899999999999</v>
      </c>
    </row>
    <row r="9" spans="1:3" x14ac:dyDescent="0.25">
      <c r="A9" t="s">
        <v>22</v>
      </c>
      <c r="B9">
        <f>(1+B5*(B3-20))*B4</f>
        <v>1.38</v>
      </c>
      <c r="C9" s="4" t="s">
        <v>20</v>
      </c>
    </row>
    <row r="10" spans="1:3" x14ac:dyDescent="0.25">
      <c r="A10" t="s">
        <v>17</v>
      </c>
      <c r="B10" s="2">
        <f>B9*B1</f>
        <v>0.16559999999999997</v>
      </c>
      <c r="C10" s="4" t="s">
        <v>39</v>
      </c>
    </row>
    <row r="11" spans="1:3" x14ac:dyDescent="0.25">
      <c r="A11" t="s">
        <v>23</v>
      </c>
      <c r="B11" s="2">
        <f>2*B7*B2*B6*B1</f>
        <v>9.8017607999999999E-3</v>
      </c>
      <c r="C11" s="4" t="s">
        <v>39</v>
      </c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sqref="A1:C9"/>
    </sheetView>
  </sheetViews>
  <sheetFormatPr defaultRowHeight="15" x14ac:dyDescent="0.25"/>
  <sheetData>
    <row r="1" spans="1:3" x14ac:dyDescent="0.25">
      <c r="A1" t="s">
        <v>31</v>
      </c>
      <c r="B1">
        <v>10</v>
      </c>
      <c r="C1" t="s">
        <v>28</v>
      </c>
    </row>
    <row r="2" spans="1:3" x14ac:dyDescent="0.25">
      <c r="A2" t="s">
        <v>32</v>
      </c>
      <c r="B2">
        <v>0.4</v>
      </c>
      <c r="C2" t="s">
        <v>28</v>
      </c>
    </row>
    <row r="3" spans="1:3" x14ac:dyDescent="0.25">
      <c r="A3" t="s">
        <v>29</v>
      </c>
      <c r="B3">
        <v>1250</v>
      </c>
      <c r="C3" t="s">
        <v>30</v>
      </c>
    </row>
    <row r="4" spans="1:3" x14ac:dyDescent="0.25">
      <c r="A4" t="s">
        <v>33</v>
      </c>
      <c r="B4">
        <v>1</v>
      </c>
      <c r="C4" t="s">
        <v>34</v>
      </c>
    </row>
    <row r="5" spans="1:3" x14ac:dyDescent="0.25">
      <c r="A5" t="s">
        <v>35</v>
      </c>
      <c r="B5">
        <v>6</v>
      </c>
      <c r="C5" t="s">
        <v>34</v>
      </c>
    </row>
    <row r="7" spans="1:3" x14ac:dyDescent="0.25">
      <c r="A7" t="s">
        <v>36</v>
      </c>
      <c r="B7">
        <f>B5*(B2^2/B3)</f>
        <v>7.6800000000000013E-4</v>
      </c>
      <c r="C7" s="4" t="s">
        <v>39</v>
      </c>
    </row>
    <row r="8" spans="1:3" x14ac:dyDescent="0.25">
      <c r="A8" t="s">
        <v>37</v>
      </c>
      <c r="B8">
        <f>B4*(B2^2/B3)</f>
        <v>1.2800000000000002E-4</v>
      </c>
      <c r="C8" s="4" t="s">
        <v>39</v>
      </c>
    </row>
    <row r="9" spans="1:3" x14ac:dyDescent="0.25">
      <c r="A9" t="s">
        <v>38</v>
      </c>
      <c r="B9">
        <f>SQRT(B7^2-B8^2)</f>
        <v>7.5725821223675098E-4</v>
      </c>
      <c r="C9" s="4" t="s">
        <v>39</v>
      </c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9"/>
  <sheetViews>
    <sheetView workbookViewId="0">
      <selection activeCell="F18" sqref="F18"/>
    </sheetView>
  </sheetViews>
  <sheetFormatPr defaultRowHeight="15" x14ac:dyDescent="0.25"/>
  <sheetData>
    <row r="1" spans="1:3" x14ac:dyDescent="0.25">
      <c r="A1" t="s">
        <v>31</v>
      </c>
      <c r="B1">
        <v>10</v>
      </c>
      <c r="C1" t="s">
        <v>28</v>
      </c>
    </row>
    <row r="2" spans="1:3" x14ac:dyDescent="0.25">
      <c r="A2" t="s">
        <v>32</v>
      </c>
      <c r="B2">
        <v>0.4</v>
      </c>
      <c r="C2" t="s">
        <v>28</v>
      </c>
    </row>
    <row r="3" spans="1:3" x14ac:dyDescent="0.25">
      <c r="A3" t="s">
        <v>29</v>
      </c>
      <c r="B3">
        <v>1250</v>
      </c>
      <c r="C3" t="s">
        <v>30</v>
      </c>
    </row>
    <row r="4" spans="1:3" x14ac:dyDescent="0.25">
      <c r="A4" t="s">
        <v>33</v>
      </c>
      <c r="B4">
        <v>1</v>
      </c>
      <c r="C4" t="s">
        <v>34</v>
      </c>
    </row>
    <row r="5" spans="1:3" x14ac:dyDescent="0.25">
      <c r="A5" t="s">
        <v>35</v>
      </c>
      <c r="B5">
        <v>6</v>
      </c>
      <c r="C5" t="s">
        <v>34</v>
      </c>
    </row>
    <row r="6" spans="1:3" x14ac:dyDescent="0.25">
      <c r="A6" t="s">
        <v>40</v>
      </c>
      <c r="B6">
        <f>B5*(B2^2/B3)</f>
        <v>7.6800000000000013E-4</v>
      </c>
      <c r="C6" s="4" t="s">
        <v>39</v>
      </c>
    </row>
    <row r="8" spans="1:3" x14ac:dyDescent="0.25">
      <c r="A8" t="s">
        <v>41</v>
      </c>
      <c r="B8" s="7">
        <f>(B1/B2)^2*B6</f>
        <v>0.48000000000000009</v>
      </c>
      <c r="C8" s="4" t="s">
        <v>39</v>
      </c>
    </row>
    <row r="9" spans="1:3" x14ac:dyDescent="0.25">
      <c r="C9" s="4"/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workbookViewId="0">
      <selection activeCell="B4" sqref="B4"/>
    </sheetView>
  </sheetViews>
  <sheetFormatPr defaultRowHeight="15" x14ac:dyDescent="0.25"/>
  <cols>
    <col min="2" max="2" width="12" bestFit="1" customWidth="1"/>
  </cols>
  <sheetData>
    <row r="1" spans="1:3" x14ac:dyDescent="0.25">
      <c r="A1" t="s">
        <v>27</v>
      </c>
      <c r="B1">
        <f>0.4*1000</f>
        <v>400</v>
      </c>
      <c r="C1" t="s">
        <v>2</v>
      </c>
    </row>
    <row r="2" spans="1:3" x14ac:dyDescent="0.25">
      <c r="A2" t="s">
        <v>42</v>
      </c>
      <c r="B2">
        <f>10^6</f>
        <v>1000000</v>
      </c>
      <c r="C2" t="s">
        <v>9</v>
      </c>
    </row>
    <row r="4" spans="1:3" x14ac:dyDescent="0.25">
      <c r="A4" t="s">
        <v>43</v>
      </c>
      <c r="B4" s="5">
        <f>(1/5)*(B1^2/B2)</f>
        <v>3.2000000000000001E-2</v>
      </c>
    </row>
    <row r="5" spans="1:3" x14ac:dyDescent="0.25">
      <c r="A5" t="s">
        <v>45</v>
      </c>
      <c r="B5" s="2">
        <f>0.922*B4</f>
        <v>2.9504000000000002E-2</v>
      </c>
    </row>
    <row r="6" spans="1:3" x14ac:dyDescent="0.25">
      <c r="A6" t="s">
        <v>44</v>
      </c>
      <c r="B6" s="2">
        <f>0.42*B5</f>
        <v>1.239168E-2</v>
      </c>
    </row>
  </sheetData>
  <pageMargins left="0.7" right="0.7" top="0.75" bottom="0.75" header="0.3" footer="0.3"/>
  <headerFooter>
    <oddFooter>&amp;C_x000D_&amp;1#&amp;"Arial"&amp;8&amp;K13A10E C1 -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36"/>
  <sheetViews>
    <sheetView topLeftCell="A9" workbookViewId="0">
      <selection activeCell="H27" sqref="H27"/>
    </sheetView>
  </sheetViews>
  <sheetFormatPr defaultRowHeight="15" x14ac:dyDescent="0.25"/>
  <cols>
    <col min="2" max="2" width="12" bestFit="1" customWidth="1"/>
  </cols>
  <sheetData>
    <row r="1" spans="1:3" x14ac:dyDescent="0.25">
      <c r="A1" t="s">
        <v>0</v>
      </c>
      <c r="B1">
        <v>400</v>
      </c>
      <c r="C1" t="s">
        <v>2</v>
      </c>
    </row>
    <row r="2" spans="1:3" x14ac:dyDescent="0.25">
      <c r="A2" t="s">
        <v>1</v>
      </c>
      <c r="B2">
        <v>1.05</v>
      </c>
    </row>
    <row r="3" spans="1:3" x14ac:dyDescent="0.25">
      <c r="A3" t="s">
        <v>3</v>
      </c>
      <c r="B3">
        <f>10*1000</f>
        <v>10000</v>
      </c>
      <c r="C3" t="s">
        <v>4</v>
      </c>
    </row>
    <row r="4" spans="1:3" x14ac:dyDescent="0.25">
      <c r="A4" t="s">
        <v>53</v>
      </c>
      <c r="B4" s="3">
        <f>(B2*B1)/(SQRT(3)*B3)</f>
        <v>2.4248711305964281E-2</v>
      </c>
      <c r="C4" s="4" t="s">
        <v>39</v>
      </c>
    </row>
    <row r="5" spans="1:3" x14ac:dyDescent="0.25">
      <c r="A5" t="s">
        <v>52</v>
      </c>
      <c r="B5" s="3">
        <f>0.995*B4</f>
        <v>2.4127467749434459E-2</v>
      </c>
      <c r="C5" s="4" t="s">
        <v>39</v>
      </c>
    </row>
    <row r="6" spans="1:3" x14ac:dyDescent="0.25">
      <c r="A6" t="s">
        <v>54</v>
      </c>
      <c r="B6" s="3">
        <f>0.1*B4</f>
        <v>2.4248711305964281E-3</v>
      </c>
      <c r="C6" s="4" t="s">
        <v>39</v>
      </c>
    </row>
    <row r="8" spans="1:3" x14ac:dyDescent="0.25">
      <c r="A8" t="s">
        <v>22</v>
      </c>
      <c r="B8">
        <v>9.9099999999999994E-2</v>
      </c>
      <c r="C8" s="4" t="s">
        <v>20</v>
      </c>
    </row>
    <row r="9" spans="1:3" x14ac:dyDescent="0.25">
      <c r="A9" t="s">
        <v>24</v>
      </c>
      <c r="B9">
        <f>0.26/1000</f>
        <v>2.6000000000000003E-4</v>
      </c>
      <c r="C9" s="4" t="s">
        <v>26</v>
      </c>
    </row>
    <row r="10" spans="1:3" x14ac:dyDescent="0.25">
      <c r="A10" t="s">
        <v>10</v>
      </c>
      <c r="B10">
        <f>20/1000</f>
        <v>0.02</v>
      </c>
      <c r="C10" t="s">
        <v>21</v>
      </c>
    </row>
    <row r="11" spans="1:3" x14ac:dyDescent="0.25">
      <c r="A11" t="s">
        <v>17</v>
      </c>
      <c r="B11">
        <f>B8*B10</f>
        <v>1.9819999999999998E-3</v>
      </c>
    </row>
    <row r="12" spans="1:3" x14ac:dyDescent="0.25">
      <c r="A12" t="s">
        <v>12</v>
      </c>
      <c r="B12">
        <v>50</v>
      </c>
      <c r="C12" t="s">
        <v>13</v>
      </c>
    </row>
    <row r="13" spans="1:3" x14ac:dyDescent="0.25">
      <c r="A13" s="4" t="s">
        <v>25</v>
      </c>
      <c r="B13">
        <v>3.1415899999999999</v>
      </c>
    </row>
    <row r="14" spans="1:3" x14ac:dyDescent="0.25">
      <c r="A14" t="s">
        <v>23</v>
      </c>
      <c r="B14">
        <f>2*B13*B12*B9*B10</f>
        <v>1.6336268000000001E-3</v>
      </c>
      <c r="C14" s="4" t="s">
        <v>39</v>
      </c>
    </row>
    <row r="16" spans="1:3" x14ac:dyDescent="0.25">
      <c r="A16" t="s">
        <v>42</v>
      </c>
      <c r="B16">
        <f>1.25*10^6</f>
        <v>1250000</v>
      </c>
      <c r="C16" t="s">
        <v>9</v>
      </c>
    </row>
    <row r="17" spans="1:3" x14ac:dyDescent="0.25">
      <c r="A17" t="s">
        <v>43</v>
      </c>
      <c r="B17">
        <f>(1/5)*(B1^2/B16)</f>
        <v>2.5600000000000001E-2</v>
      </c>
      <c r="C17" s="4" t="s">
        <v>39</v>
      </c>
    </row>
    <row r="18" spans="1:3" x14ac:dyDescent="0.25">
      <c r="A18" t="s">
        <v>45</v>
      </c>
      <c r="B18">
        <f>0.922*B17</f>
        <v>2.3603200000000001E-2</v>
      </c>
      <c r="C18" s="4" t="s">
        <v>39</v>
      </c>
    </row>
    <row r="19" spans="1:3" x14ac:dyDescent="0.25">
      <c r="A19" t="s">
        <v>44</v>
      </c>
      <c r="B19">
        <f>0.42*B18</f>
        <v>9.913344000000001E-3</v>
      </c>
      <c r="C19" s="4" t="s">
        <v>39</v>
      </c>
    </row>
    <row r="21" spans="1:3" x14ac:dyDescent="0.25">
      <c r="A21" t="s">
        <v>50</v>
      </c>
      <c r="B21">
        <f>((B6+B11)*B19)/(B6+B11+B19)</f>
        <v>3.0507104176061206E-3</v>
      </c>
      <c r="C21" s="4" t="s">
        <v>39</v>
      </c>
    </row>
    <row r="22" spans="1:3" x14ac:dyDescent="0.25">
      <c r="A22" t="s">
        <v>51</v>
      </c>
      <c r="B22">
        <f>((B5+B14)*B18)/(B5+B14+B18)</f>
        <v>1.2317491264061375E-2</v>
      </c>
      <c r="C22" s="4" t="s">
        <v>39</v>
      </c>
    </row>
    <row r="23" spans="1:3" x14ac:dyDescent="0.25">
      <c r="A23" s="4" t="s">
        <v>55</v>
      </c>
      <c r="B23">
        <f>1.022+0.069*EXP((-3.03*B21)/B22)</f>
        <v>1.0545786516101614</v>
      </c>
      <c r="C23" s="4"/>
    </row>
    <row r="25" spans="1:3" x14ac:dyDescent="0.25">
      <c r="A25" t="s">
        <v>46</v>
      </c>
      <c r="B25">
        <f>(B2*B1)/(SQRT(3)*SQRT(B21^2+B22^2))</f>
        <v>19109.034250066474</v>
      </c>
      <c r="C25" t="s">
        <v>4</v>
      </c>
    </row>
    <row r="26" spans="1:3" x14ac:dyDescent="0.25">
      <c r="A26" t="s">
        <v>47</v>
      </c>
      <c r="B26">
        <f>B23*SQRT(2)*B25</f>
        <v>28499.202820812774</v>
      </c>
      <c r="C26" t="s">
        <v>4</v>
      </c>
    </row>
    <row r="28" spans="1:3" x14ac:dyDescent="0.25">
      <c r="A28" t="s">
        <v>50</v>
      </c>
      <c r="B28" s="1">
        <f>B6+B11</f>
        <v>4.4068711305964275E-3</v>
      </c>
      <c r="C28" s="4" t="s">
        <v>39</v>
      </c>
    </row>
    <row r="29" spans="1:3" x14ac:dyDescent="0.25">
      <c r="A29" t="s">
        <v>51</v>
      </c>
      <c r="B29" s="3">
        <f>B5+B14</f>
        <v>2.5761094549434458E-2</v>
      </c>
      <c r="C29" s="4" t="s">
        <v>39</v>
      </c>
    </row>
    <row r="30" spans="1:3" x14ac:dyDescent="0.25">
      <c r="A30" t="s">
        <v>48</v>
      </c>
      <c r="B30">
        <f>(B2*B1)/(SQRT(2)*SQRT(B28^2+B29^2))</f>
        <v>11363.355989012613</v>
      </c>
      <c r="C30" s="4" t="s">
        <v>4</v>
      </c>
    </row>
    <row r="31" spans="1:3" x14ac:dyDescent="0.25">
      <c r="C31" s="4"/>
    </row>
    <row r="32" spans="1:3" x14ac:dyDescent="0.25">
      <c r="A32" t="s">
        <v>57</v>
      </c>
      <c r="B32">
        <v>1</v>
      </c>
      <c r="C32" s="4" t="s">
        <v>59</v>
      </c>
    </row>
    <row r="33" spans="1:3" x14ac:dyDescent="0.25">
      <c r="A33" t="s">
        <v>58</v>
      </c>
      <c r="B33" s="6">
        <f>B25/B30</f>
        <v>1.681636504967658</v>
      </c>
      <c r="C33" s="4"/>
    </row>
    <row r="34" spans="1:3" x14ac:dyDescent="0.25">
      <c r="A34" t="s">
        <v>11</v>
      </c>
      <c r="B34">
        <v>0</v>
      </c>
      <c r="C34" s="4"/>
    </row>
    <row r="35" spans="1:3" x14ac:dyDescent="0.25">
      <c r="A35" t="s">
        <v>56</v>
      </c>
      <c r="B35">
        <v>0.75</v>
      </c>
      <c r="C35" s="4"/>
    </row>
    <row r="36" spans="1:3" x14ac:dyDescent="0.25">
      <c r="A36" t="s">
        <v>49</v>
      </c>
      <c r="B36">
        <f>B25*SQRT(B35+B34)</f>
        <v>16548.909102344485</v>
      </c>
      <c r="C36" t="s">
        <v>4</v>
      </c>
    </row>
  </sheetData>
  <pageMargins left="0.7" right="0.7" top="0.75" bottom="0.75" header="0.3" footer="0.3"/>
  <pageSetup paperSize="9" orientation="portrait" r:id="rId1"/>
  <headerFooter>
    <oddFooter>&amp;C_x000D_&amp;1#&amp;"Arial"&amp;8&amp;K13A10E C1 - Internal</oddFooter>
  </headerFooter>
</worksheet>
</file>

<file path=docMetadata/LabelInfo.xml><?xml version="1.0" encoding="utf-8"?>
<clbl:labelList xmlns:clbl="http://schemas.microsoft.com/office/2020/mipLabelMetadata">
  <clbl:label id="{7153fe9b-4f78-4308-9e6f-9eb67701de62}" enabled="1" method="Standard" siteId="{1357ca9e-a1a5-404b-bb16-554d5d05c5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Short-circuit currents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Feustel</dc:creator>
  <cp:lastModifiedBy>Felix Feustel</cp:lastModifiedBy>
  <dcterms:created xsi:type="dcterms:W3CDTF">2017-10-31T11:01:17Z</dcterms:created>
  <dcterms:modified xsi:type="dcterms:W3CDTF">2025-05-05T09:27:24Z</dcterms:modified>
</cp:coreProperties>
</file>