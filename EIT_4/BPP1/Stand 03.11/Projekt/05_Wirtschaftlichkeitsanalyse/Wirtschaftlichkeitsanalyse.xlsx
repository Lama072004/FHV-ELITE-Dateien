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DieseArbeitsmappe"/>
  <mc:AlternateContent xmlns:mc="http://schemas.openxmlformats.org/markup-compatibility/2006">
    <mc:Choice Requires="x15">
      <x15ac:absPath xmlns:x15ac="http://schemas.microsoft.com/office/spreadsheetml/2010/11/ac" url="K:\Vorarlberg_Netz\NT_EAP\Transfer\LAMMA\Projekt\05_Wirtschaftlichkeitsanalyse\"/>
    </mc:Choice>
  </mc:AlternateContent>
  <xr:revisionPtr revIDLastSave="0" documentId="13_ncr:1_{9BFDF2C2-2051-433A-A380-CE346E753365}" xr6:coauthVersionLast="47" xr6:coauthVersionMax="47" xr10:uidLastSave="{00000000-0000-0000-0000-000000000000}"/>
  <bookViews>
    <workbookView xWindow="-120" yWindow="-120" windowWidth="29040" windowHeight="17640" activeTab="2" xr2:uid="{00000000-000D-0000-FFFF-FFFF00000000}"/>
  </bookViews>
  <sheets>
    <sheet name="Eingaben" sheetId="1" r:id="rId1"/>
    <sheet name="Zeit- und Kostenersparnis" sheetId="2" r:id="rId2"/>
    <sheet name="Amortisation" sheetId="3" r:id="rId3"/>
    <sheet name="Kummulierte Einsparu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6" i="4" s="1"/>
  <c r="B5" i="2"/>
  <c r="B4" i="2"/>
  <c r="B3" i="2"/>
  <c r="B2" i="2"/>
  <c r="B8" i="1"/>
  <c r="B4" i="1"/>
  <c r="B2" i="3" s="1"/>
  <c r="B4" i="3" s="1"/>
  <c r="B5" i="3" s="1"/>
  <c r="B29" i="4" l="1"/>
  <c r="B23" i="4"/>
  <c r="B17" i="4"/>
  <c r="B11" i="4"/>
  <c r="B3" i="4"/>
  <c r="B28" i="4"/>
  <c r="B22" i="4"/>
  <c r="B16" i="4"/>
  <c r="B10" i="4"/>
  <c r="B5" i="4"/>
  <c r="B2" i="4"/>
  <c r="C2" i="4" s="1"/>
  <c r="C3" i="4" s="1"/>
  <c r="B27" i="4"/>
  <c r="B21" i="4"/>
  <c r="B15" i="4"/>
  <c r="B9" i="4"/>
  <c r="B26" i="4"/>
  <c r="B20" i="4"/>
  <c r="B14" i="4"/>
  <c r="B8" i="4"/>
  <c r="B4" i="4"/>
  <c r="B25" i="4"/>
  <c r="B19" i="4"/>
  <c r="B13" i="4"/>
  <c r="B7" i="4"/>
  <c r="B30" i="4"/>
  <c r="B24" i="4"/>
  <c r="B18" i="4"/>
  <c r="B12" i="4"/>
  <c r="C4" i="4" l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</calcChain>
</file>

<file path=xl/sharedStrings.xml><?xml version="1.0" encoding="utf-8"?>
<sst xmlns="http://schemas.openxmlformats.org/spreadsheetml/2006/main" count="46" uniqueCount="33">
  <si>
    <t>Parameter</t>
  </si>
  <si>
    <t>Wert</t>
  </si>
  <si>
    <t>Einheit</t>
  </si>
  <si>
    <t>Entwicklungsstunden</t>
  </si>
  <si>
    <t>Stundensatz Entwickler</t>
  </si>
  <si>
    <t>Entwicklungskosten</t>
  </si>
  <si>
    <t>Zeit pro Vorgang vorher</t>
  </si>
  <si>
    <t>Zeit pro Vorgang nachher</t>
  </si>
  <si>
    <t>Zeitersparnis pro Vorgang</t>
  </si>
  <si>
    <t>Vorgänge pro Woche</t>
  </si>
  <si>
    <t>Arbeitswochen pro Jahr</t>
  </si>
  <si>
    <t>Stundensatz Mitarbeiter</t>
  </si>
  <si>
    <t>Stunden</t>
  </si>
  <si>
    <t>€/h</t>
  </si>
  <si>
    <t>€</t>
  </si>
  <si>
    <t>Minuten</t>
  </si>
  <si>
    <t>Anzahl</t>
  </si>
  <si>
    <t>Wochen</t>
  </si>
  <si>
    <t>Berechnung</t>
  </si>
  <si>
    <t>Ergebnis</t>
  </si>
  <si>
    <t>Zeitersparnis pro Vorgang (h)</t>
  </si>
  <si>
    <t>Zeitersparnis pro Woche</t>
  </si>
  <si>
    <t>Zeitersparnis pro Jahr</t>
  </si>
  <si>
    <t>Kosteneinsparung pro Jahr</t>
  </si>
  <si>
    <t>Kennzahl</t>
  </si>
  <si>
    <t>Einsparung pro Jahr</t>
  </si>
  <si>
    <t>Amortisationszeit (Jahre)</t>
  </si>
  <si>
    <t>Amortisationszeit (Monate)</t>
  </si>
  <si>
    <t>Jahre</t>
  </si>
  <si>
    <t>Monate</t>
  </si>
  <si>
    <t>Monat</t>
  </si>
  <si>
    <t>Einsparung</t>
  </si>
  <si>
    <t>Kummulierte Einsparung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</si>
</sst>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C11"/>
  <sheetViews>
    <sheetView workbookViewId="0">
      <selection activeCell="E19" sqref="E19"/>
    </sheetView>
  </sheetViews>
  <sheetFormatPr baseColWidth="10" defaultColWidth="9.140625" defaultRowHeight="15" x14ac:dyDescent="0.25"/>
  <cols>
    <col min="1" max="1" width="24" bestFit="1" customWidth="1"/>
    <col min="2" max="2" width="17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303</v>
      </c>
      <c r="C2" t="s">
        <v>12</v>
      </c>
    </row>
    <row r="3" spans="1:3" x14ac:dyDescent="0.25">
      <c r="A3" t="s">
        <v>4</v>
      </c>
      <c r="B3">
        <v>19</v>
      </c>
      <c r="C3" t="s">
        <v>13</v>
      </c>
    </row>
    <row r="4" spans="1:3" x14ac:dyDescent="0.25">
      <c r="A4" t="s">
        <v>5</v>
      </c>
      <c r="B4">
        <f>B2*B3</f>
        <v>5757</v>
      </c>
      <c r="C4" t="s">
        <v>14</v>
      </c>
    </row>
    <row r="6" spans="1:3" x14ac:dyDescent="0.25">
      <c r="A6" t="s">
        <v>6</v>
      </c>
      <c r="C6" t="s">
        <v>15</v>
      </c>
    </row>
    <row r="7" spans="1:3" x14ac:dyDescent="0.25">
      <c r="A7" t="s">
        <v>7</v>
      </c>
      <c r="C7" t="s">
        <v>15</v>
      </c>
    </row>
    <row r="8" spans="1:3" x14ac:dyDescent="0.25">
      <c r="A8" t="s">
        <v>8</v>
      </c>
      <c r="B8">
        <f>B6-B7</f>
        <v>0</v>
      </c>
      <c r="C8" t="s">
        <v>15</v>
      </c>
    </row>
    <row r="9" spans="1:3" x14ac:dyDescent="0.25">
      <c r="A9" t="s">
        <v>9</v>
      </c>
      <c r="C9" t="s">
        <v>16</v>
      </c>
    </row>
    <row r="10" spans="1:3" x14ac:dyDescent="0.25">
      <c r="A10" t="s">
        <v>10</v>
      </c>
      <c r="C10" t="s">
        <v>17</v>
      </c>
    </row>
    <row r="11" spans="1:3" x14ac:dyDescent="0.25">
      <c r="A11" t="s">
        <v>11</v>
      </c>
      <c r="B11">
        <v>21</v>
      </c>
      <c r="C1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C87E7-91AF-4D1E-B188-6F6D2AA22228}">
  <sheetPr codeName="Tabelle2"/>
  <dimension ref="A1:C5"/>
  <sheetViews>
    <sheetView workbookViewId="0">
      <selection activeCell="E13" sqref="E13"/>
    </sheetView>
  </sheetViews>
  <sheetFormatPr baseColWidth="10" defaultRowHeight="15" x14ac:dyDescent="0.25"/>
  <cols>
    <col min="1" max="1" width="26.5703125" customWidth="1"/>
    <col min="2" max="2" width="15.7109375" customWidth="1"/>
  </cols>
  <sheetData>
    <row r="1" spans="1:3" x14ac:dyDescent="0.25">
      <c r="A1" t="s">
        <v>18</v>
      </c>
      <c r="B1" t="s">
        <v>19</v>
      </c>
      <c r="C1" t="s">
        <v>2</v>
      </c>
    </row>
    <row r="2" spans="1:3" x14ac:dyDescent="0.25">
      <c r="A2" t="s">
        <v>20</v>
      </c>
      <c r="B2">
        <f>'Zeit- und Kostenersparnis'!B8/60</f>
        <v>0</v>
      </c>
      <c r="C2" t="s">
        <v>12</v>
      </c>
    </row>
    <row r="3" spans="1:3" x14ac:dyDescent="0.25">
      <c r="A3" t="s">
        <v>21</v>
      </c>
      <c r="B3">
        <f>B2*Eingaben!B9</f>
        <v>0</v>
      </c>
      <c r="C3" t="s">
        <v>12</v>
      </c>
    </row>
    <row r="4" spans="1:3" x14ac:dyDescent="0.25">
      <c r="A4" t="s">
        <v>22</v>
      </c>
      <c r="B4">
        <f>B3*Eingaben!B10</f>
        <v>0</v>
      </c>
      <c r="C4" t="s">
        <v>12</v>
      </c>
    </row>
    <row r="5" spans="1:3" x14ac:dyDescent="0.25">
      <c r="A5" t="s">
        <v>23</v>
      </c>
      <c r="B5">
        <f>B4*Eingaben!B11</f>
        <v>0</v>
      </c>
      <c r="C5" t="s">
        <v>14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106DC-AA67-42DF-B5AD-5DC37055977D}">
  <sheetPr codeName="Tabelle3"/>
  <dimension ref="A1:C5"/>
  <sheetViews>
    <sheetView tabSelected="1" workbookViewId="0">
      <selection activeCell="K17" sqref="K17"/>
    </sheetView>
  </sheetViews>
  <sheetFormatPr baseColWidth="10" defaultRowHeight="15" x14ac:dyDescent="0.25"/>
  <cols>
    <col min="1" max="1" width="25.7109375" bestFit="1" customWidth="1"/>
    <col min="2" max="2" width="19.7109375" customWidth="1"/>
  </cols>
  <sheetData>
    <row r="1" spans="1:3" x14ac:dyDescent="0.25">
      <c r="A1" t="s">
        <v>24</v>
      </c>
      <c r="B1" t="s">
        <v>1</v>
      </c>
      <c r="C1" t="s">
        <v>2</v>
      </c>
    </row>
    <row r="2" spans="1:3" x14ac:dyDescent="0.25">
      <c r="A2" t="s">
        <v>5</v>
      </c>
      <c r="B2">
        <f>Eingaben!B4</f>
        <v>5757</v>
      </c>
      <c r="C2" t="s">
        <v>14</v>
      </c>
    </row>
    <row r="3" spans="1:3" x14ac:dyDescent="0.25">
      <c r="A3" t="s">
        <v>25</v>
      </c>
      <c r="B3">
        <f>'Zeit- und Kostenersparnis'!B5</f>
        <v>0</v>
      </c>
      <c r="C3" t="s">
        <v>14</v>
      </c>
    </row>
    <row r="4" spans="1:3" x14ac:dyDescent="0.25">
      <c r="A4" t="s">
        <v>26</v>
      </c>
      <c r="B4" t="e">
        <f>B2/B3</f>
        <v>#DIV/0!</v>
      </c>
      <c r="C4" t="s">
        <v>28</v>
      </c>
    </row>
    <row r="5" spans="1:3" x14ac:dyDescent="0.25">
      <c r="A5" t="s">
        <v>27</v>
      </c>
      <c r="B5" t="e">
        <f>B4*12</f>
        <v>#DIV/0!</v>
      </c>
      <c r="C5" t="s">
        <v>29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061C7-0D4A-44FA-85E5-E055DBEDC3F7}">
  <sheetPr codeName="Tabelle4"/>
  <dimension ref="A1:C30"/>
  <sheetViews>
    <sheetView workbookViewId="0">
      <selection activeCell="A31" sqref="A31"/>
    </sheetView>
  </sheetViews>
  <sheetFormatPr baseColWidth="10" defaultRowHeight="15" x14ac:dyDescent="0.25"/>
  <cols>
    <col min="2" max="2" width="18.5703125" customWidth="1"/>
    <col min="3" max="3" width="23.140625" bestFit="1" customWidth="1"/>
  </cols>
  <sheetData>
    <row r="1" spans="1:3" x14ac:dyDescent="0.25">
      <c r="A1" t="s">
        <v>30</v>
      </c>
      <c r="B1" t="s">
        <v>31</v>
      </c>
      <c r="C1" t="s">
        <v>32</v>
      </c>
    </row>
    <row r="2" spans="1:3" x14ac:dyDescent="0.25">
      <c r="A2">
        <v>1</v>
      </c>
      <c r="B2">
        <f>Amortisation!$B$3/12</f>
        <v>0</v>
      </c>
      <c r="C2">
        <f>B2</f>
        <v>0</v>
      </c>
    </row>
    <row r="3" spans="1:3" x14ac:dyDescent="0.25">
      <c r="A3">
        <v>2</v>
      </c>
      <c r="B3">
        <f>Amortisation!$B$3/12</f>
        <v>0</v>
      </c>
      <c r="C3">
        <f>C2+B3</f>
        <v>0</v>
      </c>
    </row>
    <row r="4" spans="1:3" x14ac:dyDescent="0.25">
      <c r="A4">
        <v>3</v>
      </c>
      <c r="B4">
        <f>Amortisation!$B$3/12</f>
        <v>0</v>
      </c>
      <c r="C4">
        <f t="shared" ref="C4:C30" si="0">C3+B4</f>
        <v>0</v>
      </c>
    </row>
    <row r="5" spans="1:3" x14ac:dyDescent="0.25">
      <c r="A5">
        <v>4</v>
      </c>
      <c r="B5">
        <f>Amortisation!$B$3/12</f>
        <v>0</v>
      </c>
      <c r="C5">
        <f t="shared" si="0"/>
        <v>0</v>
      </c>
    </row>
    <row r="6" spans="1:3" x14ac:dyDescent="0.25">
      <c r="A6">
        <v>5</v>
      </c>
      <c r="B6">
        <f>Amortisation!$B$3/12</f>
        <v>0</v>
      </c>
      <c r="C6">
        <f t="shared" si="0"/>
        <v>0</v>
      </c>
    </row>
    <row r="7" spans="1:3" x14ac:dyDescent="0.25">
      <c r="A7">
        <v>6</v>
      </c>
      <c r="B7">
        <f>Amortisation!$B$3/12</f>
        <v>0</v>
      </c>
      <c r="C7">
        <f t="shared" si="0"/>
        <v>0</v>
      </c>
    </row>
    <row r="8" spans="1:3" x14ac:dyDescent="0.25">
      <c r="A8">
        <v>7</v>
      </c>
      <c r="B8">
        <f>Amortisation!$B$3/12</f>
        <v>0</v>
      </c>
      <c r="C8">
        <f t="shared" si="0"/>
        <v>0</v>
      </c>
    </row>
    <row r="9" spans="1:3" x14ac:dyDescent="0.25">
      <c r="A9">
        <v>8</v>
      </c>
      <c r="B9">
        <f>Amortisation!$B$3/12</f>
        <v>0</v>
      </c>
      <c r="C9">
        <f t="shared" si="0"/>
        <v>0</v>
      </c>
    </row>
    <row r="10" spans="1:3" x14ac:dyDescent="0.25">
      <c r="A10">
        <v>9</v>
      </c>
      <c r="B10">
        <f>Amortisation!$B$3/12</f>
        <v>0</v>
      </c>
      <c r="C10">
        <f t="shared" si="0"/>
        <v>0</v>
      </c>
    </row>
    <row r="11" spans="1:3" x14ac:dyDescent="0.25">
      <c r="A11">
        <v>10</v>
      </c>
      <c r="B11">
        <f>Amortisation!$B$3/12</f>
        <v>0</v>
      </c>
      <c r="C11">
        <f t="shared" si="0"/>
        <v>0</v>
      </c>
    </row>
    <row r="12" spans="1:3" x14ac:dyDescent="0.25">
      <c r="A12">
        <v>11</v>
      </c>
      <c r="B12">
        <f>Amortisation!$B$3/12</f>
        <v>0</v>
      </c>
      <c r="C12">
        <f t="shared" si="0"/>
        <v>0</v>
      </c>
    </row>
    <row r="13" spans="1:3" x14ac:dyDescent="0.25">
      <c r="A13">
        <v>12</v>
      </c>
      <c r="B13">
        <f>Amortisation!$B$3/12</f>
        <v>0</v>
      </c>
      <c r="C13">
        <f t="shared" si="0"/>
        <v>0</v>
      </c>
    </row>
    <row r="14" spans="1:3" x14ac:dyDescent="0.25">
      <c r="A14">
        <v>13</v>
      </c>
      <c r="B14">
        <f>Amortisation!$B$3/12</f>
        <v>0</v>
      </c>
      <c r="C14">
        <f t="shared" si="0"/>
        <v>0</v>
      </c>
    </row>
    <row r="15" spans="1:3" x14ac:dyDescent="0.25">
      <c r="A15">
        <v>14</v>
      </c>
      <c r="B15">
        <f>Amortisation!$B$3/12</f>
        <v>0</v>
      </c>
      <c r="C15">
        <f t="shared" si="0"/>
        <v>0</v>
      </c>
    </row>
    <row r="16" spans="1:3" x14ac:dyDescent="0.25">
      <c r="A16">
        <v>15</v>
      </c>
      <c r="B16">
        <f>Amortisation!$B$3/12</f>
        <v>0</v>
      </c>
      <c r="C16">
        <f t="shared" si="0"/>
        <v>0</v>
      </c>
    </row>
    <row r="17" spans="1:3" x14ac:dyDescent="0.25">
      <c r="A17">
        <v>16</v>
      </c>
      <c r="B17">
        <f>Amortisation!$B$3/12</f>
        <v>0</v>
      </c>
      <c r="C17">
        <f t="shared" si="0"/>
        <v>0</v>
      </c>
    </row>
    <row r="18" spans="1:3" x14ac:dyDescent="0.25">
      <c r="A18">
        <v>17</v>
      </c>
      <c r="B18">
        <f>Amortisation!$B$3/12</f>
        <v>0</v>
      </c>
      <c r="C18">
        <f t="shared" si="0"/>
        <v>0</v>
      </c>
    </row>
    <row r="19" spans="1:3" x14ac:dyDescent="0.25">
      <c r="A19">
        <v>18</v>
      </c>
      <c r="B19">
        <f>Amortisation!$B$3/12</f>
        <v>0</v>
      </c>
      <c r="C19">
        <f t="shared" si="0"/>
        <v>0</v>
      </c>
    </row>
    <row r="20" spans="1:3" x14ac:dyDescent="0.25">
      <c r="A20">
        <v>19</v>
      </c>
      <c r="B20">
        <f>Amortisation!$B$3/12</f>
        <v>0</v>
      </c>
      <c r="C20">
        <f t="shared" si="0"/>
        <v>0</v>
      </c>
    </row>
    <row r="21" spans="1:3" x14ac:dyDescent="0.25">
      <c r="A21">
        <v>20</v>
      </c>
      <c r="B21">
        <f>Amortisation!$B$3/12</f>
        <v>0</v>
      </c>
      <c r="C21">
        <f t="shared" si="0"/>
        <v>0</v>
      </c>
    </row>
    <row r="22" spans="1:3" x14ac:dyDescent="0.25">
      <c r="A22">
        <v>21</v>
      </c>
      <c r="B22">
        <f>Amortisation!$B$3/12</f>
        <v>0</v>
      </c>
      <c r="C22">
        <f t="shared" si="0"/>
        <v>0</v>
      </c>
    </row>
    <row r="23" spans="1:3" x14ac:dyDescent="0.25">
      <c r="A23">
        <v>22</v>
      </c>
      <c r="B23">
        <f>Amortisation!$B$3/12</f>
        <v>0</v>
      </c>
      <c r="C23">
        <f t="shared" si="0"/>
        <v>0</v>
      </c>
    </row>
    <row r="24" spans="1:3" x14ac:dyDescent="0.25">
      <c r="A24">
        <v>23</v>
      </c>
      <c r="B24">
        <f>Amortisation!$B$3/12</f>
        <v>0</v>
      </c>
      <c r="C24">
        <f t="shared" si="0"/>
        <v>0</v>
      </c>
    </row>
    <row r="25" spans="1:3" x14ac:dyDescent="0.25">
      <c r="A25">
        <v>24</v>
      </c>
      <c r="B25">
        <f>Amortisation!$B$3/12</f>
        <v>0</v>
      </c>
      <c r="C25">
        <f t="shared" si="0"/>
        <v>0</v>
      </c>
    </row>
    <row r="26" spans="1:3" x14ac:dyDescent="0.25">
      <c r="A26">
        <v>25</v>
      </c>
      <c r="B26">
        <f>Amortisation!$B$3/12</f>
        <v>0</v>
      </c>
      <c r="C26">
        <f t="shared" si="0"/>
        <v>0</v>
      </c>
    </row>
    <row r="27" spans="1:3" x14ac:dyDescent="0.25">
      <c r="A27">
        <v>26</v>
      </c>
      <c r="B27">
        <f>Amortisation!$B$3/12</f>
        <v>0</v>
      </c>
      <c r="C27">
        <f t="shared" si="0"/>
        <v>0</v>
      </c>
    </row>
    <row r="28" spans="1:3" x14ac:dyDescent="0.25">
      <c r="A28">
        <v>27</v>
      </c>
      <c r="B28">
        <f>Amortisation!$B$3/12</f>
        <v>0</v>
      </c>
      <c r="C28">
        <f t="shared" si="0"/>
        <v>0</v>
      </c>
    </row>
    <row r="29" spans="1:3" x14ac:dyDescent="0.25">
      <c r="A29">
        <v>28</v>
      </c>
      <c r="B29">
        <f>Amortisation!$B$3/12</f>
        <v>0</v>
      </c>
      <c r="C29">
        <f t="shared" si="0"/>
        <v>0</v>
      </c>
    </row>
    <row r="30" spans="1:3" x14ac:dyDescent="0.25">
      <c r="A30">
        <v>29</v>
      </c>
      <c r="B30">
        <f>Amortisation!$B$3/12</f>
        <v>0</v>
      </c>
      <c r="C30">
        <f t="shared" si="0"/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Eingaben</vt:lpstr>
      <vt:lpstr>Zeit- und Kostenersparnis</vt:lpstr>
      <vt:lpstr>Amortisation</vt:lpstr>
      <vt:lpstr>Kummulierte Einsparung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Lampert Mathias</dc:creator>
  <cp:lastModifiedBy>Lampert Mathias</cp:lastModifiedBy>
  <dcterms:created xsi:type="dcterms:W3CDTF">2015-06-05T18:19:34Z</dcterms:created>
  <dcterms:modified xsi:type="dcterms:W3CDTF">2026-03-11T15:23:52Z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0cdedd-d985-4b75-87b3-25b8340936b5_Enabled">
    <vt:lpwstr>true</vt:lpwstr>
  </property>
  <property fmtid="{D5CDD505-2E9C-101B-9397-08002B2CF9AE}" pid="3" name="MSIP_Label_d30cdedd-d985-4b75-87b3-25b8340936b5_SetDate">
    <vt:lpwstr>2026-03-11T11:02:47Z</vt:lpwstr>
  </property>
  <property fmtid="{D5CDD505-2E9C-101B-9397-08002B2CF9AE}" pid="4" name="MSIP_Label_d30cdedd-d985-4b75-87b3-25b8340936b5_Method">
    <vt:lpwstr>Privileged</vt:lpwstr>
  </property>
  <property fmtid="{D5CDD505-2E9C-101B-9397-08002B2CF9AE}" pid="5" name="MSIP_Label_d30cdedd-d985-4b75-87b3-25b8340936b5_Name">
    <vt:lpwstr>Intern</vt:lpwstr>
  </property>
  <property fmtid="{D5CDD505-2E9C-101B-9397-08002B2CF9AE}" pid="6" name="MSIP_Label_d30cdedd-d985-4b75-87b3-25b8340936b5_SiteId">
    <vt:lpwstr>63bc103c-82a4-474b-8f27-8d59f74a99e0</vt:lpwstr>
  </property>
  <property fmtid="{D5CDD505-2E9C-101B-9397-08002B2CF9AE}" pid="7" name="MSIP_Label_d30cdedd-d985-4b75-87b3-25b8340936b5_ActionId">
    <vt:lpwstr>795bc6fa-53aa-42db-ad01-af6398f42dc9</vt:lpwstr>
  </property>
  <property fmtid="{D5CDD505-2E9C-101B-9397-08002B2CF9AE}" pid="8" name="MSIP_Label_d30cdedd-d985-4b75-87b3-25b8340936b5_ContentBits">
    <vt:lpwstr>0</vt:lpwstr>
  </property>
  <property fmtid="{D5CDD505-2E9C-101B-9397-08002B2CF9AE}" pid="9" name="MSIP_Label_d30cdedd-d985-4b75-87b3-25b8340936b5_Tag">
    <vt:lpwstr>10, 0, 1, 1</vt:lpwstr>
  </property>
</Properties>
</file>