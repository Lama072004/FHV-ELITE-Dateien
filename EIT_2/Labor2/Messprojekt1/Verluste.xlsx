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thias Lampert\Documents\Mathias Schule_Studium\FH\ELITE-Semester\EIT_2\Labor2\Messprojekt1\"/>
    </mc:Choice>
  </mc:AlternateContent>
  <xr:revisionPtr revIDLastSave="0" documentId="13_ncr:1_{3D2C3BED-62D4-4AF8-8604-8B64EEBD2573}" xr6:coauthVersionLast="47" xr6:coauthVersionMax="47" xr10:uidLastSave="{00000000-0000-0000-0000-000000000000}"/>
  <bookViews>
    <workbookView xWindow="-120" yWindow="-120" windowWidth="29040" windowHeight="15720" xr2:uid="{FA2FF084-40D9-4D14-954E-A813EBC98D06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1" l="1"/>
  <c r="F39" i="1"/>
  <c r="F40" i="1"/>
  <c r="F41" i="1"/>
  <c r="F42" i="1"/>
  <c r="G39" i="1"/>
  <c r="G40" i="1"/>
  <c r="G41" i="1"/>
  <c r="G42" i="1"/>
  <c r="G38" i="1"/>
  <c r="H38" i="1"/>
  <c r="H39" i="1"/>
  <c r="H40" i="1"/>
  <c r="H41" i="1"/>
  <c r="H42" i="1"/>
</calcChain>
</file>

<file path=xl/sharedStrings.xml><?xml version="1.0" encoding="utf-8"?>
<sst xmlns="http://schemas.openxmlformats.org/spreadsheetml/2006/main" count="47" uniqueCount="22">
  <si>
    <t>Infineon</t>
  </si>
  <si>
    <t>Nexperia</t>
  </si>
  <si>
    <t>Vishay</t>
  </si>
  <si>
    <t>Statisch</t>
  </si>
  <si>
    <t>Dynamisch</t>
  </si>
  <si>
    <t>Rahmenbedingung</t>
  </si>
  <si>
    <t>5V, 20R, 1Hz</t>
  </si>
  <si>
    <t>15V, 20R, 1Hz</t>
  </si>
  <si>
    <t>25V, 20R, 1Hz</t>
  </si>
  <si>
    <t>35V, 20R, 1Hz</t>
  </si>
  <si>
    <t>40V, 20R, 1Hz</t>
  </si>
  <si>
    <t>Reale Verluste</t>
  </si>
  <si>
    <t>Simulative Verluste</t>
  </si>
  <si>
    <t>Verlustfaktor Vishay</t>
  </si>
  <si>
    <t>Verlustfaktor Nexperia</t>
  </si>
  <si>
    <t>Verlustfaktor Infineon</t>
  </si>
  <si>
    <t>Infineon Re</t>
  </si>
  <si>
    <t>Nexperia Re</t>
  </si>
  <si>
    <t>Vishay Re</t>
  </si>
  <si>
    <t>Infineon Sim</t>
  </si>
  <si>
    <t>Nexperia Sim</t>
  </si>
  <si>
    <t>Vishay 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</si>
</sst>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2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</cellXfs>
  <cellStyles count="1">
    <cellStyle name="Standard" xfId="0" builtinId="0"/>
  </cellStyles>
  <dxfs count="27">
    <dxf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Dynamischen</a:t>
            </a:r>
            <a:r>
              <a:rPr lang="de-AT" baseline="0"/>
              <a:t> Verluste Mosfet</a:t>
            </a:r>
            <a:endParaRPr lang="de-A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A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Tabelle1!$B$3</c:f>
              <c:strCache>
                <c:ptCount val="1"/>
                <c:pt idx="0">
                  <c:v>Infineon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Tabelle1!$A$4:$A$8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Tabelle1!$B$4:$B$8</c:f>
              <c:numCache>
                <c:formatCode>General</c:formatCode>
                <c:ptCount val="5"/>
                <c:pt idx="0">
                  <c:v>2.0200000000000001E-3</c:v>
                </c:pt>
                <c:pt idx="1">
                  <c:v>1.917E-2</c:v>
                </c:pt>
                <c:pt idx="2">
                  <c:v>5.5010999999999997E-2</c:v>
                </c:pt>
                <c:pt idx="3">
                  <c:v>0.113993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14-4F5C-BB47-94112FFC4D60}"/>
            </c:ext>
          </c:extLst>
        </c:ser>
        <c:ser>
          <c:idx val="1"/>
          <c:order val="1"/>
          <c:tx>
            <c:strRef>
              <c:f>Tabelle1!$C$3</c:f>
              <c:strCache>
                <c:ptCount val="1"/>
                <c:pt idx="0">
                  <c:v>Nexperia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Tabelle1!$A$4:$A$8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Tabelle1!$C$4:$C$8</c:f>
              <c:numCache>
                <c:formatCode>General</c:formatCode>
                <c:ptCount val="5"/>
                <c:pt idx="0">
                  <c:v>1.627E-3</c:v>
                </c:pt>
                <c:pt idx="1">
                  <c:v>1.9397000000000001E-2</c:v>
                </c:pt>
                <c:pt idx="2">
                  <c:v>4.1481999999999998E-2</c:v>
                </c:pt>
                <c:pt idx="3">
                  <c:v>0.11521199999999999</c:v>
                </c:pt>
                <c:pt idx="4">
                  <c:v>0.155141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14-4F5C-BB47-94112FFC4D60}"/>
            </c:ext>
          </c:extLst>
        </c:ser>
        <c:ser>
          <c:idx val="2"/>
          <c:order val="2"/>
          <c:tx>
            <c:strRef>
              <c:f>Tabelle1!$D$3</c:f>
              <c:strCache>
                <c:ptCount val="1"/>
                <c:pt idx="0">
                  <c:v>Vishay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Tabelle1!$A$4:$A$8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Tabelle1!$D$4:$D$8</c:f>
              <c:numCache>
                <c:formatCode>General</c:formatCode>
                <c:ptCount val="5"/>
                <c:pt idx="0">
                  <c:v>2.196E-3</c:v>
                </c:pt>
                <c:pt idx="1">
                  <c:v>2.0362000000000002E-2</c:v>
                </c:pt>
                <c:pt idx="2">
                  <c:v>5.7568000000000001E-2</c:v>
                </c:pt>
                <c:pt idx="3">
                  <c:v>0.11867999999999999</c:v>
                </c:pt>
                <c:pt idx="4">
                  <c:v>0.182363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14-4F5C-BB47-94112FFC4D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37903407"/>
        <c:axId val="537908687"/>
      </c:barChart>
      <c:catAx>
        <c:axId val="5379034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Unterschiedliche</a:t>
                </a:r>
                <a:r>
                  <a:rPr lang="de-AT" baseline="0"/>
                  <a:t> Spannungen [V] bei gleichbleibendem R und Hz</a:t>
                </a:r>
                <a:endParaRPr lang="de-A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A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37908687"/>
        <c:crosses val="autoZero"/>
        <c:auto val="1"/>
        <c:lblAlgn val="ctr"/>
        <c:lblOffset val="100"/>
        <c:noMultiLvlLbl val="0"/>
      </c:catAx>
      <c:valAx>
        <c:axId val="53790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Schaltverluste</a:t>
                </a:r>
                <a:r>
                  <a:rPr lang="de-AT" baseline="0"/>
                  <a:t> [W]</a:t>
                </a:r>
                <a:endParaRPr lang="de-A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A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37903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Statischen</a:t>
            </a:r>
            <a:r>
              <a:rPr lang="de-AT" baseline="0"/>
              <a:t> Verluste Mosfet</a:t>
            </a:r>
            <a:endParaRPr lang="de-A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A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Tabelle1!$G$3</c:f>
              <c:strCache>
                <c:ptCount val="1"/>
                <c:pt idx="0">
                  <c:v>Infineon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Tabelle1!$F$4:$F$8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Tabelle1!$G$4:$G$8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2.7948300000000001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63-478A-977C-AACC4EE5CC36}"/>
            </c:ext>
          </c:extLst>
        </c:ser>
        <c:ser>
          <c:idx val="1"/>
          <c:order val="1"/>
          <c:tx>
            <c:strRef>
              <c:f>Tabelle1!$H$3</c:f>
              <c:strCache>
                <c:ptCount val="1"/>
                <c:pt idx="0">
                  <c:v>Nexperia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Tabelle1!$F$4:$F$8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Tabelle1!$H$4:$H$8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2.8071600000000001</c:v>
                </c:pt>
                <c:pt idx="4">
                  <c:v>10.01174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63-478A-977C-AACC4EE5CC36}"/>
            </c:ext>
          </c:extLst>
        </c:ser>
        <c:ser>
          <c:idx val="2"/>
          <c:order val="2"/>
          <c:tx>
            <c:strRef>
              <c:f>Tabelle1!$I$3</c:f>
              <c:strCache>
                <c:ptCount val="1"/>
                <c:pt idx="0">
                  <c:v>Vishay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Tabelle1!$F$4:$F$8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Tabelle1!$I$4:$I$8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2.31819</c:v>
                </c:pt>
                <c:pt idx="4">
                  <c:v>8.86782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63-478A-977C-AACC4EE5C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7944687"/>
        <c:axId val="537945647"/>
      </c:barChart>
      <c:catAx>
        <c:axId val="53794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37945647"/>
        <c:crosses val="autoZero"/>
        <c:auto val="1"/>
        <c:lblAlgn val="ctr"/>
        <c:lblOffset val="100"/>
        <c:noMultiLvlLbl val="0"/>
      </c:catAx>
      <c:valAx>
        <c:axId val="537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37944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Dynamischen</a:t>
            </a:r>
            <a:r>
              <a:rPr lang="de-AT" baseline="0"/>
              <a:t> Verluste Mosfet - Simulation</a:t>
            </a:r>
            <a:endParaRPr lang="de-A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A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Tabelle1!$B$37</c:f>
              <c:strCache>
                <c:ptCount val="1"/>
                <c:pt idx="0">
                  <c:v>Infineon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Tabelle1!$A$38:$A$42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Tabelle1!$B$38:$B$42</c:f>
              <c:numCache>
                <c:formatCode>General</c:formatCode>
                <c:ptCount val="5"/>
                <c:pt idx="0">
                  <c:v>1.21E-4</c:v>
                </c:pt>
                <c:pt idx="1">
                  <c:v>1.1980000000000001E-3</c:v>
                </c:pt>
                <c:pt idx="2">
                  <c:v>1.4430000000000001E-3</c:v>
                </c:pt>
                <c:pt idx="3">
                  <c:v>2.9260000000000002E-3</c:v>
                </c:pt>
                <c:pt idx="4">
                  <c:v>4.0200000000000001E-3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7C-4BD9-BFBB-E5B1776376BF}"/>
            </c:ext>
          </c:extLst>
        </c:ser>
        <c:ser>
          <c:idx val="1"/>
          <c:order val="1"/>
          <c:tx>
            <c:strRef>
              <c:f>Tabelle1!$C$37</c:f>
              <c:strCache>
                <c:ptCount val="1"/>
                <c:pt idx="0">
                  <c:v>Nexperia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Tabelle1!$A$38:$A$42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Tabelle1!$C$38:$C$42</c:f>
              <c:numCache>
                <c:formatCode>General</c:formatCode>
                <c:ptCount val="5"/>
                <c:pt idx="0">
                  <c:v>2.6600000000000001E-4</c:v>
                </c:pt>
                <c:pt idx="1">
                  <c:v>1.081E-2</c:v>
                </c:pt>
                <c:pt idx="2">
                  <c:v>2.9982000000000002E-2</c:v>
                </c:pt>
                <c:pt idx="3">
                  <c:v>5.8746E-2</c:v>
                </c:pt>
                <c:pt idx="4">
                  <c:v>7.6834E-2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7C-4BD9-BFBB-E5B1776376BF}"/>
            </c:ext>
          </c:extLst>
        </c:ser>
        <c:ser>
          <c:idx val="2"/>
          <c:order val="2"/>
          <c:tx>
            <c:strRef>
              <c:f>Tabelle1!$D$37</c:f>
              <c:strCache>
                <c:ptCount val="1"/>
                <c:pt idx="0">
                  <c:v>Vishay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Tabelle1!$A$38:$A$42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Tabelle1!$D$38:$D$42</c:f>
              <c:numCache>
                <c:formatCode>General</c:formatCode>
                <c:ptCount val="5"/>
                <c:pt idx="0">
                  <c:v>1.1980000000000001E-3</c:v>
                </c:pt>
                <c:pt idx="1">
                  <c:v>2.395E-3</c:v>
                </c:pt>
                <c:pt idx="2">
                  <c:v>6.6540000000000002E-3</c:v>
                </c:pt>
                <c:pt idx="3">
                  <c:v>1.3043000000000001E-2</c:v>
                </c:pt>
                <c:pt idx="4">
                  <c:v>1.7035999999999999E-2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7C-4BD9-BFBB-E5B1776376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8253135"/>
        <c:axId val="228253615"/>
      </c:barChart>
      <c:catAx>
        <c:axId val="228253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28253615"/>
        <c:crosses val="autoZero"/>
        <c:auto val="1"/>
        <c:lblAlgn val="ctr"/>
        <c:lblOffset val="100"/>
        <c:noMultiLvlLbl val="0"/>
      </c:catAx>
      <c:valAx>
        <c:axId val="228253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282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Dynamische</a:t>
            </a:r>
            <a:r>
              <a:rPr lang="de-AT" baseline="0"/>
              <a:t> Verluste im direkten Vergleich</a:t>
            </a:r>
            <a:endParaRPr lang="de-A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Tabelle1!$B$72</c:f>
              <c:strCache>
                <c:ptCount val="1"/>
                <c:pt idx="0">
                  <c:v>Infineon 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Tabelle1!$A$73:$A$77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Tabelle1!$B$73:$B$77</c:f>
              <c:numCache>
                <c:formatCode>General</c:formatCode>
                <c:ptCount val="5"/>
                <c:pt idx="0">
                  <c:v>2.0200000000000001E-3</c:v>
                </c:pt>
                <c:pt idx="1">
                  <c:v>1.917E-2</c:v>
                </c:pt>
                <c:pt idx="2">
                  <c:v>5.5010999999999997E-2</c:v>
                </c:pt>
                <c:pt idx="3">
                  <c:v>0.113993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E-46FE-9922-0DE2306D4915}"/>
            </c:ext>
          </c:extLst>
        </c:ser>
        <c:ser>
          <c:idx val="1"/>
          <c:order val="1"/>
          <c:tx>
            <c:strRef>
              <c:f>Tabelle1!$C$72</c:f>
              <c:strCache>
                <c:ptCount val="1"/>
                <c:pt idx="0">
                  <c:v>Infineon 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Tabelle1!$A$73:$A$77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Tabelle1!$C$73:$C$77</c:f>
              <c:numCache>
                <c:formatCode>General</c:formatCode>
                <c:ptCount val="5"/>
                <c:pt idx="0">
                  <c:v>1.21E-4</c:v>
                </c:pt>
                <c:pt idx="1">
                  <c:v>1.1980000000000001E-3</c:v>
                </c:pt>
                <c:pt idx="2">
                  <c:v>1.4430000000000001E-3</c:v>
                </c:pt>
                <c:pt idx="3">
                  <c:v>2.9260000000000002E-3</c:v>
                </c:pt>
                <c:pt idx="4">
                  <c:v>4.0200000000000001E-3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E-46FE-9922-0DE2306D4915}"/>
            </c:ext>
          </c:extLst>
        </c:ser>
        <c:ser>
          <c:idx val="2"/>
          <c:order val="2"/>
          <c:tx>
            <c:strRef>
              <c:f>Tabelle1!$D$72</c:f>
              <c:strCache>
                <c:ptCount val="1"/>
                <c:pt idx="0">
                  <c:v>Vishay Re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cat>
            <c:strRef>
              <c:f>Tabelle1!$A$73:$A$77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Tabelle1!$D$73:$D$77</c:f>
              <c:numCache>
                <c:formatCode>General</c:formatCode>
                <c:ptCount val="5"/>
                <c:pt idx="0">
                  <c:v>2.196E-3</c:v>
                </c:pt>
                <c:pt idx="1">
                  <c:v>2.0362000000000002E-2</c:v>
                </c:pt>
                <c:pt idx="2">
                  <c:v>5.7568000000000001E-2</c:v>
                </c:pt>
                <c:pt idx="3">
                  <c:v>0.11867999999999999</c:v>
                </c:pt>
                <c:pt idx="4">
                  <c:v>0.182363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E-46FE-9922-0DE2306D4915}"/>
            </c:ext>
          </c:extLst>
        </c:ser>
        <c:ser>
          <c:idx val="3"/>
          <c:order val="3"/>
          <c:tx>
            <c:strRef>
              <c:f>Tabelle1!$E$72</c:f>
              <c:strCache>
                <c:ptCount val="1"/>
                <c:pt idx="0">
                  <c:v>Vishay Sim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Tabelle1!$A$73:$A$77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Tabelle1!$E$73:$E$77</c:f>
              <c:numCache>
                <c:formatCode>General</c:formatCode>
                <c:ptCount val="5"/>
                <c:pt idx="0">
                  <c:v>1.1980000000000001E-3</c:v>
                </c:pt>
                <c:pt idx="1">
                  <c:v>2.395E-3</c:v>
                </c:pt>
                <c:pt idx="2">
                  <c:v>6.6540000000000002E-3</c:v>
                </c:pt>
                <c:pt idx="3">
                  <c:v>1.3043000000000001E-2</c:v>
                </c:pt>
                <c:pt idx="4">
                  <c:v>1.7035999999999999E-2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2E-46FE-9922-0DE2306D4915}"/>
            </c:ext>
          </c:extLst>
        </c:ser>
        <c:ser>
          <c:idx val="4"/>
          <c:order val="4"/>
          <c:tx>
            <c:strRef>
              <c:f>Tabelle1!$F$72</c:f>
              <c:strCache>
                <c:ptCount val="1"/>
                <c:pt idx="0">
                  <c:v>Nexperia 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Tabelle1!$A$73:$A$77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Tabelle1!$F$73:$F$77</c:f>
              <c:numCache>
                <c:formatCode>General</c:formatCode>
                <c:ptCount val="5"/>
                <c:pt idx="0">
                  <c:v>1.627E-3</c:v>
                </c:pt>
                <c:pt idx="1">
                  <c:v>1.9397000000000001E-2</c:v>
                </c:pt>
                <c:pt idx="2">
                  <c:v>4.1481999999999998E-2</c:v>
                </c:pt>
                <c:pt idx="3">
                  <c:v>0.11521199999999999</c:v>
                </c:pt>
                <c:pt idx="4">
                  <c:v>0.155141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2E-46FE-9922-0DE2306D4915}"/>
            </c:ext>
          </c:extLst>
        </c:ser>
        <c:ser>
          <c:idx val="5"/>
          <c:order val="5"/>
          <c:tx>
            <c:strRef>
              <c:f>Tabelle1!$G$72</c:f>
              <c:strCache>
                <c:ptCount val="1"/>
                <c:pt idx="0">
                  <c:v>Nexperia Sim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Tabelle1!$A$73:$A$77</c:f>
              <c:strCache>
                <c:ptCount val="5"/>
                <c:pt idx="0">
                  <c:v>5V, 20R, 1Hz</c:v>
                </c:pt>
                <c:pt idx="1">
                  <c:v>15V, 20R, 1Hz</c:v>
                </c:pt>
                <c:pt idx="2">
                  <c:v>25V, 20R, 1Hz</c:v>
                </c:pt>
                <c:pt idx="3">
                  <c:v>35V, 20R, 1Hz</c:v>
                </c:pt>
                <c:pt idx="4">
                  <c:v>40V, 20R, 1Hz</c:v>
                </c:pt>
              </c:strCache>
            </c:strRef>
          </c:cat>
          <c:val>
            <c:numRef>
              <c:f>Tabelle1!$G$73:$G$77</c:f>
              <c:numCache>
                <c:formatCode>General</c:formatCode>
                <c:ptCount val="5"/>
                <c:pt idx="0">
                  <c:v>2.6600000000000001E-4</c:v>
                </c:pt>
                <c:pt idx="1">
                  <c:v>1.081E-2</c:v>
                </c:pt>
                <c:pt idx="2">
                  <c:v>2.9982000000000002E-2</c:v>
                </c:pt>
                <c:pt idx="3">
                  <c:v>5.8746E-2</c:v>
                </c:pt>
                <c:pt idx="4">
                  <c:v>7.6834E-2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2E-46FE-9922-0DE2306D4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463855"/>
        <c:axId val="164467215"/>
      </c:barChart>
      <c:catAx>
        <c:axId val="16446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4467215"/>
        <c:crosses val="autoZero"/>
        <c:auto val="1"/>
        <c:lblAlgn val="ctr"/>
        <c:lblOffset val="100"/>
        <c:noMultiLvlLbl val="0"/>
      </c:catAx>
      <c:valAx>
        <c:axId val="1644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446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4846</xdr:rowOff>
    </xdr:from>
    <xdr:to>
      <xdr:col>3</xdr:col>
      <xdr:colOff>1445846</xdr:colOff>
      <xdr:row>33</xdr:row>
      <xdr:rowOff>22116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E506731-50E8-C9C4-28A9-9E8A65873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12211</xdr:colOff>
      <xdr:row>9</xdr:row>
      <xdr:rowOff>4847</xdr:rowOff>
    </xdr:from>
    <xdr:to>
      <xdr:col>8</xdr:col>
      <xdr:colOff>1436077</xdr:colOff>
      <xdr:row>32</xdr:row>
      <xdr:rowOff>183308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420A373-7454-C796-2ED2-8A5743F3D0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159878</xdr:rowOff>
    </xdr:from>
    <xdr:to>
      <xdr:col>4</xdr:col>
      <xdr:colOff>7470</xdr:colOff>
      <xdr:row>67</xdr:row>
      <xdr:rowOff>14949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060E2F-B2A2-E473-2F68-F8F192CCA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1437998</xdr:colOff>
      <xdr:row>78</xdr:row>
      <xdr:rowOff>138</xdr:rowOff>
    </xdr:from>
    <xdr:to>
      <xdr:col>7</xdr:col>
      <xdr:colOff>8281</xdr:colOff>
      <xdr:row>110</xdr:row>
      <xdr:rowOff>57978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AE901AE6-4EA7-36B8-5173-E85FFAE9F2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F71BC1-3520-4F56-98C4-30AFBC3FEF5C}" name="Tabelle2" displayName="Tabelle2" ref="A3:D8" totalsRowShown="0" headerRowDxfId="26" dataDxfId="25">
  <autoFilter ref="A3:D8" xr:uid="{F4F71BC1-3520-4F56-98C4-30AFBC3FEF5C}"/>
  <tableColumns count="4">
    <tableColumn id="1" xr3:uid="{8E8FC6A2-0530-4186-9AE6-DA6B2E8D4AB8}" name="Rahmenbedingung" dataDxfId="24"/>
    <tableColumn id="2" xr3:uid="{71743B05-4A07-4828-8864-D472F4E65258}" name="Infineon" dataDxfId="23"/>
    <tableColumn id="3" xr3:uid="{7E6A8A99-42A0-4D32-9521-8C83F480D20B}" name="Nexperia" dataDxfId="22"/>
    <tableColumn id="4" xr3:uid="{69A55A23-33F9-4CE6-928B-212B6FB74B02}" name="Vishay" dataDxfId="2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58E90F-3BB3-435D-8D8C-EFF361CA1E0C}" name="Tabelle25" displayName="Tabelle25" ref="F3:I8" totalsRowShown="0" headerRowDxfId="20" dataDxfId="19">
  <autoFilter ref="F3:I8" xr:uid="{C058E90F-3BB3-435D-8D8C-EFF361CA1E0C}"/>
  <tableColumns count="4">
    <tableColumn id="1" xr3:uid="{095DD20D-CF94-466A-A89B-A38F89D56CB3}" name="Rahmenbedingung" dataDxfId="18"/>
    <tableColumn id="2" xr3:uid="{B5A75993-2923-4B2C-A637-30F13E56F9C5}" name="Infineon" dataDxfId="17"/>
    <tableColumn id="3" xr3:uid="{6E079F05-3C0F-4DFD-B5F3-F3B9CA28C5DC}" name="Nexperia" dataDxfId="16"/>
    <tableColumn id="4" xr3:uid="{815E163F-BB43-47EF-8A2A-E182497A7573}" name="Vishay" dataDxfId="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2E2C96-CBAB-4661-8918-A9CEA49F9B34}" name="Tabelle22" displayName="Tabelle22" ref="A37:D42" totalsRowShown="0" headerRowDxfId="14" dataDxfId="13">
  <autoFilter ref="A37:D42" xr:uid="{F02E2C96-CBAB-4661-8918-A9CEA49F9B34}"/>
  <tableColumns count="4">
    <tableColumn id="1" xr3:uid="{21010B20-866A-467F-AB30-855C86AE14D8}" name="Rahmenbedingung" dataDxfId="12"/>
    <tableColumn id="2" xr3:uid="{F7813164-C427-4327-8FA1-5DCE3632F3E6}" name="Infineon" dataDxfId="11"/>
    <tableColumn id="3" xr3:uid="{CC4DCC8B-9499-472B-AD42-5A518678F569}" name="Nexperia" dataDxfId="10"/>
    <tableColumn id="4" xr3:uid="{49EB2F6C-6136-4EE0-9D9A-2CD2E3694CB1}" name="Vishay" dataDxfId="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BC227-1296-407E-B65B-B5D5D649AA6A}" name="Tabelle24" displayName="Tabelle24" ref="A72:G77" totalsRowShown="0" headerRowDxfId="8" dataDxfId="7">
  <autoFilter ref="A72:G77" xr:uid="{757BC227-1296-407E-B65B-B5D5D649AA6A}"/>
  <tableColumns count="7">
    <tableColumn id="1" xr3:uid="{4DB1BC95-D74E-420B-8C1E-0F0E0F9E4588}" name="Rahmenbedingung" dataDxfId="6"/>
    <tableColumn id="2" xr3:uid="{3237381B-6B9A-49A3-821C-25A14DD41E60}" name="Infineon Re" dataDxfId="5"/>
    <tableColumn id="3" xr3:uid="{C5D7B5C1-3D32-44DD-8BC0-E0A691E823AB}" name="Infineon Sim" dataDxfId="3"/>
    <tableColumn id="4" xr3:uid="{B146C992-A3A8-4579-A765-1768F4C6EFF5}" name="Vishay Re" dataDxfId="4"/>
    <tableColumn id="5" xr3:uid="{BAB50A0F-36A4-485B-83CE-07AA792E7B05}" name="Vishay Sim" dataDxfId="2"/>
    <tableColumn id="6" xr3:uid="{EF80923D-E727-4F74-B73F-D2EF9B2A2BB5}" name="Nexperia Re" dataDxfId="0"/>
    <tableColumn id="7" xr3:uid="{13568BD9-47CA-4CA0-BDBB-6ED86D8BF87E}" name="Nexperia Sim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FBC7-9FB0-4652-BEE8-F6A2CBCF3729}">
  <dimension ref="A1:I77"/>
  <sheetViews>
    <sheetView tabSelected="1" topLeftCell="A94" zoomScale="115" zoomScaleNormal="115" workbookViewId="0">
      <selection activeCell="I106" sqref="I106"/>
    </sheetView>
  </sheetViews>
  <sheetFormatPr baseColWidth="10" defaultRowHeight="14.5" x14ac:dyDescent="0.35"/>
  <cols>
    <col min="1" max="9" width="20.7265625" customWidth="1"/>
  </cols>
  <sheetData>
    <row r="1" spans="1:9" ht="28.5" x14ac:dyDescent="0.35">
      <c r="A1" s="5" t="s">
        <v>11</v>
      </c>
      <c r="B1" s="5"/>
      <c r="C1" s="5"/>
      <c r="D1" s="5"/>
      <c r="E1" s="5"/>
      <c r="F1" s="5"/>
      <c r="G1" s="5"/>
      <c r="H1" s="5"/>
      <c r="I1" s="5"/>
    </row>
    <row r="2" spans="1:9" ht="15" customHeight="1" x14ac:dyDescent="0.35">
      <c r="A2" s="4" t="s">
        <v>4</v>
      </c>
      <c r="B2" s="4"/>
      <c r="C2" s="4"/>
      <c r="D2" s="4"/>
      <c r="F2" s="4" t="s">
        <v>3</v>
      </c>
      <c r="G2" s="4"/>
      <c r="H2" s="4"/>
      <c r="I2" s="4"/>
    </row>
    <row r="3" spans="1:9" ht="15" customHeight="1" x14ac:dyDescent="0.35">
      <c r="A3" s="1" t="s">
        <v>5</v>
      </c>
      <c r="B3" s="1" t="s">
        <v>0</v>
      </c>
      <c r="C3" s="1" t="s">
        <v>1</v>
      </c>
      <c r="D3" s="1" t="s">
        <v>2</v>
      </c>
      <c r="F3" s="1" t="s">
        <v>5</v>
      </c>
      <c r="G3" s="1" t="s">
        <v>0</v>
      </c>
      <c r="H3" s="1" t="s">
        <v>1</v>
      </c>
      <c r="I3" s="1" t="s">
        <v>2</v>
      </c>
    </row>
    <row r="4" spans="1:9" x14ac:dyDescent="0.35">
      <c r="A4" s="1" t="s">
        <v>6</v>
      </c>
      <c r="B4" s="2">
        <v>2.0200000000000001E-3</v>
      </c>
      <c r="C4" s="2">
        <v>1.627E-3</v>
      </c>
      <c r="D4" s="2">
        <v>2.196E-3</v>
      </c>
      <c r="F4" s="1" t="s">
        <v>6</v>
      </c>
      <c r="G4" s="2">
        <v>0</v>
      </c>
      <c r="H4" s="2">
        <v>0</v>
      </c>
      <c r="I4" s="2">
        <v>0</v>
      </c>
    </row>
    <row r="5" spans="1:9" x14ac:dyDescent="0.35">
      <c r="A5" s="1" t="s">
        <v>7</v>
      </c>
      <c r="B5" s="2">
        <v>1.917E-2</v>
      </c>
      <c r="C5" s="2">
        <v>1.9397000000000001E-2</v>
      </c>
      <c r="D5" s="2">
        <v>2.0362000000000002E-2</v>
      </c>
      <c r="F5" s="1" t="s">
        <v>7</v>
      </c>
      <c r="G5" s="2">
        <v>0</v>
      </c>
      <c r="H5" s="2">
        <v>0</v>
      </c>
      <c r="I5" s="2">
        <v>0</v>
      </c>
    </row>
    <row r="6" spans="1:9" x14ac:dyDescent="0.35">
      <c r="A6" s="1" t="s">
        <v>8</v>
      </c>
      <c r="B6" s="2">
        <v>5.5010999999999997E-2</v>
      </c>
      <c r="C6" s="2">
        <v>4.1481999999999998E-2</v>
      </c>
      <c r="D6" s="2">
        <v>5.7568000000000001E-2</v>
      </c>
      <c r="F6" s="1" t="s">
        <v>8</v>
      </c>
      <c r="G6" s="2">
        <v>0</v>
      </c>
      <c r="H6" s="2">
        <v>0</v>
      </c>
      <c r="I6" s="2">
        <v>0</v>
      </c>
    </row>
    <row r="7" spans="1:9" x14ac:dyDescent="0.35">
      <c r="A7" s="1" t="s">
        <v>9</v>
      </c>
      <c r="B7" s="2">
        <v>0.113993</v>
      </c>
      <c r="C7" s="2">
        <v>0.11521199999999999</v>
      </c>
      <c r="D7" s="2">
        <v>0.11867999999999999</v>
      </c>
      <c r="F7" s="1" t="s">
        <v>9</v>
      </c>
      <c r="G7" s="2">
        <v>2.7948300000000001</v>
      </c>
      <c r="H7" s="2">
        <v>2.8071600000000001</v>
      </c>
      <c r="I7" s="2">
        <v>2.31819</v>
      </c>
    </row>
    <row r="8" spans="1:9" x14ac:dyDescent="0.35">
      <c r="A8" s="1" t="s">
        <v>10</v>
      </c>
      <c r="B8" s="2"/>
      <c r="C8" s="2">
        <v>0.155141</v>
      </c>
      <c r="D8" s="2">
        <v>0.182363</v>
      </c>
      <c r="F8" s="1" t="s">
        <v>10</v>
      </c>
      <c r="G8" s="2"/>
      <c r="H8" s="2">
        <v>10.01174</v>
      </c>
      <c r="I8" s="2">
        <v>8.86782</v>
      </c>
    </row>
    <row r="9" spans="1:9" x14ac:dyDescent="0.35">
      <c r="A9" s="1"/>
      <c r="B9" s="2"/>
      <c r="C9" s="2"/>
      <c r="D9" s="2"/>
      <c r="F9" s="1"/>
      <c r="G9" s="2"/>
      <c r="H9" s="2"/>
      <c r="I9" s="2"/>
    </row>
    <row r="10" spans="1:9" x14ac:dyDescent="0.35">
      <c r="A10" s="2"/>
      <c r="B10" s="2"/>
      <c r="C10" s="2"/>
      <c r="D10" s="2"/>
      <c r="F10" s="2"/>
      <c r="G10" s="2"/>
      <c r="H10" s="2"/>
      <c r="I10" s="2"/>
    </row>
    <row r="11" spans="1:9" x14ac:dyDescent="0.35">
      <c r="A11" s="2"/>
      <c r="B11" s="2"/>
      <c r="C11" s="2"/>
      <c r="D11" s="2"/>
      <c r="F11" s="1"/>
      <c r="G11" s="2"/>
      <c r="H11" s="2"/>
      <c r="I11" s="2"/>
    </row>
    <row r="12" spans="1:9" x14ac:dyDescent="0.35">
      <c r="A12" s="2"/>
      <c r="B12" s="2"/>
      <c r="C12" s="2"/>
      <c r="D12" s="2"/>
      <c r="F12" s="1"/>
      <c r="G12" s="2"/>
      <c r="H12" s="2"/>
      <c r="I12" s="2"/>
    </row>
    <row r="13" spans="1:9" x14ac:dyDescent="0.35">
      <c r="A13" s="2"/>
      <c r="B13" s="2"/>
      <c r="C13" s="2"/>
      <c r="D13" s="2"/>
      <c r="F13" s="1"/>
      <c r="G13" s="2"/>
      <c r="H13" s="2"/>
      <c r="I13" s="2"/>
    </row>
    <row r="14" spans="1:9" x14ac:dyDescent="0.35">
      <c r="A14" s="2"/>
      <c r="B14" s="2"/>
      <c r="C14" s="2"/>
      <c r="D14" s="2"/>
      <c r="F14" s="1"/>
      <c r="G14" s="2"/>
      <c r="H14" s="2"/>
      <c r="I14" s="2"/>
    </row>
    <row r="15" spans="1:9" x14ac:dyDescent="0.35">
      <c r="A15" s="2"/>
      <c r="B15" s="2"/>
      <c r="C15" s="2"/>
      <c r="D15" s="2"/>
      <c r="F15" s="2"/>
      <c r="G15" s="2"/>
      <c r="H15" s="2"/>
      <c r="I15" s="2"/>
    </row>
    <row r="16" spans="1:9" x14ac:dyDescent="0.35">
      <c r="A16" s="2"/>
      <c r="B16" s="2"/>
      <c r="C16" s="2"/>
      <c r="D16" s="2"/>
      <c r="F16" s="2"/>
      <c r="G16" s="2"/>
      <c r="H16" s="2"/>
      <c r="I16" s="2"/>
    </row>
    <row r="17" spans="1:9" x14ac:dyDescent="0.35">
      <c r="A17" s="2"/>
      <c r="B17" s="2"/>
      <c r="C17" s="2"/>
      <c r="D17" s="2"/>
      <c r="F17" s="2"/>
      <c r="G17" s="2"/>
      <c r="H17" s="2"/>
      <c r="I17" s="2"/>
    </row>
    <row r="18" spans="1:9" x14ac:dyDescent="0.35">
      <c r="A18" s="2"/>
      <c r="B18" s="2"/>
      <c r="C18" s="2"/>
      <c r="D18" s="2"/>
      <c r="F18" s="2"/>
      <c r="G18" s="2"/>
      <c r="H18" s="2"/>
      <c r="I18" s="2"/>
    </row>
    <row r="19" spans="1:9" x14ac:dyDescent="0.35">
      <c r="A19" s="2"/>
      <c r="B19" s="2"/>
      <c r="C19" s="2"/>
      <c r="D19" s="2"/>
      <c r="F19" s="2"/>
      <c r="G19" s="2"/>
      <c r="H19" s="2"/>
      <c r="I19" s="2"/>
    </row>
    <row r="20" spans="1:9" x14ac:dyDescent="0.35">
      <c r="A20" s="2"/>
      <c r="B20" s="2"/>
      <c r="C20" s="2"/>
      <c r="D20" s="2"/>
      <c r="F20" s="2"/>
      <c r="G20" s="2"/>
      <c r="H20" s="2"/>
      <c r="I20" s="2"/>
    </row>
    <row r="21" spans="1:9" x14ac:dyDescent="0.35">
      <c r="A21" s="2"/>
      <c r="B21" s="2"/>
      <c r="C21" s="2"/>
      <c r="D21" s="2"/>
      <c r="F21" s="2"/>
      <c r="G21" s="2"/>
      <c r="H21" s="2"/>
      <c r="I21" s="2"/>
    </row>
    <row r="22" spans="1:9" x14ac:dyDescent="0.35">
      <c r="A22" s="2"/>
      <c r="B22" s="2"/>
      <c r="C22" s="2"/>
      <c r="D22" s="2"/>
      <c r="F22" s="2"/>
      <c r="G22" s="2"/>
      <c r="H22" s="2"/>
      <c r="I22" s="2"/>
    </row>
    <row r="23" spans="1:9" x14ac:dyDescent="0.35">
      <c r="A23" s="2"/>
      <c r="B23" s="2"/>
      <c r="C23" s="2"/>
      <c r="D23" s="2"/>
      <c r="F23" s="2"/>
      <c r="G23" s="2"/>
      <c r="H23" s="2"/>
      <c r="I23" s="2"/>
    </row>
    <row r="24" spans="1:9" x14ac:dyDescent="0.35">
      <c r="A24" s="2"/>
      <c r="B24" s="2"/>
      <c r="C24" s="2"/>
      <c r="D24" s="2"/>
      <c r="F24" s="2"/>
      <c r="G24" s="2"/>
      <c r="H24" s="2"/>
      <c r="I24" s="2"/>
    </row>
    <row r="25" spans="1:9" x14ac:dyDescent="0.35">
      <c r="A25" s="2"/>
      <c r="B25" s="2"/>
      <c r="C25" s="2"/>
      <c r="D25" s="2"/>
      <c r="F25" s="2"/>
      <c r="G25" s="2"/>
      <c r="H25" s="2"/>
      <c r="I25" s="2"/>
    </row>
    <row r="26" spans="1:9" x14ac:dyDescent="0.35">
      <c r="A26" s="2"/>
      <c r="B26" s="2"/>
      <c r="C26" s="2"/>
      <c r="D26" s="2"/>
      <c r="F26" s="2"/>
      <c r="G26" s="2"/>
      <c r="H26" s="2"/>
      <c r="I26" s="2"/>
    </row>
    <row r="27" spans="1:9" x14ac:dyDescent="0.35">
      <c r="A27" s="2"/>
      <c r="B27" s="2"/>
      <c r="C27" s="2"/>
      <c r="D27" s="2"/>
      <c r="F27" s="2"/>
      <c r="G27" s="2"/>
      <c r="H27" s="2"/>
      <c r="I27" s="2"/>
    </row>
    <row r="28" spans="1:9" x14ac:dyDescent="0.35">
      <c r="A28" s="2"/>
      <c r="B28" s="2"/>
      <c r="C28" s="2"/>
      <c r="D28" s="2"/>
      <c r="F28" s="2"/>
      <c r="G28" s="2"/>
      <c r="H28" s="2"/>
      <c r="I28" s="2"/>
    </row>
    <row r="29" spans="1:9" x14ac:dyDescent="0.35">
      <c r="A29" s="2"/>
      <c r="B29" s="2"/>
      <c r="C29" s="2"/>
      <c r="D29" s="2"/>
      <c r="F29" s="2"/>
      <c r="G29" s="2"/>
      <c r="H29" s="2"/>
      <c r="I29" s="2"/>
    </row>
    <row r="30" spans="1:9" x14ac:dyDescent="0.35">
      <c r="A30" s="2"/>
      <c r="B30" s="2"/>
      <c r="C30" s="2"/>
      <c r="D30" s="2"/>
      <c r="F30" s="2"/>
      <c r="G30" s="2"/>
      <c r="H30" s="2"/>
      <c r="I30" s="2"/>
    </row>
    <row r="31" spans="1:9" x14ac:dyDescent="0.35">
      <c r="A31" s="2"/>
      <c r="B31" s="2"/>
      <c r="C31" s="2"/>
      <c r="D31" s="2"/>
      <c r="F31" s="2"/>
      <c r="G31" s="2"/>
      <c r="H31" s="2"/>
      <c r="I31" s="2"/>
    </row>
    <row r="35" spans="1:9" ht="28.5" x14ac:dyDescent="0.35">
      <c r="A35" s="5" t="s">
        <v>12</v>
      </c>
      <c r="B35" s="5"/>
      <c r="C35" s="5"/>
      <c r="D35" s="5"/>
      <c r="E35" s="5"/>
      <c r="F35" s="5"/>
      <c r="G35" s="5"/>
      <c r="H35" s="5"/>
      <c r="I35" s="5"/>
    </row>
    <row r="36" spans="1:9" x14ac:dyDescent="0.35">
      <c r="A36" s="4" t="s">
        <v>4</v>
      </c>
      <c r="B36" s="4"/>
      <c r="C36" s="4"/>
      <c r="D36" s="4"/>
    </row>
    <row r="37" spans="1:9" x14ac:dyDescent="0.35">
      <c r="A37" s="1" t="s">
        <v>5</v>
      </c>
      <c r="B37" s="1" t="s">
        <v>0</v>
      </c>
      <c r="C37" s="1" t="s">
        <v>1</v>
      </c>
      <c r="D37" s="1" t="s">
        <v>2</v>
      </c>
      <c r="F37" s="2" t="s">
        <v>15</v>
      </c>
      <c r="G37" s="2" t="s">
        <v>14</v>
      </c>
      <c r="H37" s="2" t="s">
        <v>13</v>
      </c>
    </row>
    <row r="38" spans="1:9" x14ac:dyDescent="0.35">
      <c r="A38" s="1" t="s">
        <v>6</v>
      </c>
      <c r="B38" s="2">
        <v>1.21E-4</v>
      </c>
      <c r="C38" s="2">
        <v>2.6600000000000001E-4</v>
      </c>
      <c r="D38" s="2">
        <v>1.1980000000000001E-3</v>
      </c>
      <c r="F38" s="3">
        <f>B4/Tabelle22[[#This Row],[Infineon]]</f>
        <v>16.694214876033058</v>
      </c>
      <c r="G38" s="3">
        <f>C4/Tabelle22[[#This Row],[Nexperia]]</f>
        <v>6.1165413533834583</v>
      </c>
      <c r="H38" s="3">
        <f>D4/Tabelle22[[#This Row],[Vishay]]</f>
        <v>1.8330550918196995</v>
      </c>
    </row>
    <row r="39" spans="1:9" x14ac:dyDescent="0.35">
      <c r="A39" s="1" t="s">
        <v>7</v>
      </c>
      <c r="B39" s="2">
        <v>1.1980000000000001E-3</v>
      </c>
      <c r="C39" s="2">
        <v>1.081E-2</v>
      </c>
      <c r="D39" s="2">
        <v>2.395E-3</v>
      </c>
      <c r="F39" s="3">
        <f>B5/Tabelle22[[#This Row],[Infineon]]</f>
        <v>16.001669449081803</v>
      </c>
      <c r="G39" s="3">
        <f>C5/Tabelle22[[#This Row],[Nexperia]]</f>
        <v>1.7943570767807586</v>
      </c>
      <c r="H39" s="3">
        <f>D5/Tabelle22[[#This Row],[Vishay]]</f>
        <v>8.5018789144050118</v>
      </c>
    </row>
    <row r="40" spans="1:9" x14ac:dyDescent="0.35">
      <c r="A40" s="1" t="s">
        <v>8</v>
      </c>
      <c r="B40" s="2">
        <v>1.4430000000000001E-3</v>
      </c>
      <c r="C40" s="2">
        <v>2.9982000000000002E-2</v>
      </c>
      <c r="D40" s="2">
        <v>6.6540000000000002E-3</v>
      </c>
      <c r="F40" s="3">
        <f>B6/Tabelle22[[#This Row],[Infineon]]</f>
        <v>38.122661122661121</v>
      </c>
      <c r="G40" s="3">
        <f>C6/Tabelle22[[#This Row],[Nexperia]]</f>
        <v>1.3835634714161829</v>
      </c>
      <c r="H40" s="3">
        <f>D6/Tabelle22[[#This Row],[Vishay]]</f>
        <v>8.6516381124135862</v>
      </c>
    </row>
    <row r="41" spans="1:9" x14ac:dyDescent="0.35">
      <c r="A41" s="1" t="s">
        <v>9</v>
      </c>
      <c r="B41" s="2">
        <v>2.9260000000000002E-3</v>
      </c>
      <c r="C41" s="2">
        <v>5.8746E-2</v>
      </c>
      <c r="D41" s="2">
        <v>1.3043000000000001E-2</v>
      </c>
      <c r="F41" s="3">
        <f>B7/Tabelle22[[#This Row],[Infineon]]</f>
        <v>38.958646616541351</v>
      </c>
      <c r="G41" s="3">
        <f>C7/Tabelle22[[#This Row],[Nexperia]]</f>
        <v>1.9611888469002143</v>
      </c>
      <c r="H41" s="3">
        <f>D7/Tabelle22[[#This Row],[Vishay]]</f>
        <v>9.0991336348999461</v>
      </c>
    </row>
    <row r="42" spans="1:9" x14ac:dyDescent="0.35">
      <c r="A42" s="1" t="s">
        <v>10</v>
      </c>
      <c r="B42" s="2">
        <v>4.0200000000000001E-3</v>
      </c>
      <c r="C42" s="2">
        <v>7.6834E-2</v>
      </c>
      <c r="D42" s="2">
        <v>1.7035999999999999E-2</v>
      </c>
      <c r="F42" s="3">
        <f>B8/Tabelle22[[#This Row],[Infineon]]</f>
        <v>0</v>
      </c>
      <c r="G42" s="3">
        <f>C8/Tabelle22[[#This Row],[Nexperia]]</f>
        <v>2.0191712002498896</v>
      </c>
      <c r="H42" s="3">
        <f>D8/Tabelle22[[#This Row],[Vishay]]</f>
        <v>10.704566799718243</v>
      </c>
    </row>
    <row r="72" spans="1:7" x14ac:dyDescent="0.35">
      <c r="A72" s="1" t="s">
        <v>5</v>
      </c>
      <c r="B72" s="1" t="s">
        <v>16</v>
      </c>
      <c r="C72" s="1" t="s">
        <v>19</v>
      </c>
      <c r="D72" s="1" t="s">
        <v>18</v>
      </c>
      <c r="E72" s="1" t="s">
        <v>21</v>
      </c>
      <c r="F72" s="6" t="s">
        <v>17</v>
      </c>
      <c r="G72" s="1" t="s">
        <v>20</v>
      </c>
    </row>
    <row r="73" spans="1:7" x14ac:dyDescent="0.35">
      <c r="A73" s="1" t="s">
        <v>6</v>
      </c>
      <c r="B73" s="2">
        <v>2.0200000000000001E-3</v>
      </c>
      <c r="C73" s="2">
        <v>1.21E-4</v>
      </c>
      <c r="D73" s="2">
        <v>2.196E-3</v>
      </c>
      <c r="E73" s="2">
        <v>1.1980000000000001E-3</v>
      </c>
      <c r="F73" s="7">
        <v>1.627E-3</v>
      </c>
      <c r="G73" s="2">
        <v>2.6600000000000001E-4</v>
      </c>
    </row>
    <row r="74" spans="1:7" x14ac:dyDescent="0.35">
      <c r="A74" s="1" t="s">
        <v>7</v>
      </c>
      <c r="B74" s="2">
        <v>1.917E-2</v>
      </c>
      <c r="C74" s="2">
        <v>1.1980000000000001E-3</v>
      </c>
      <c r="D74" s="2">
        <v>2.0362000000000002E-2</v>
      </c>
      <c r="E74" s="2">
        <v>2.395E-3</v>
      </c>
      <c r="F74" s="8">
        <v>1.9397000000000001E-2</v>
      </c>
      <c r="G74" s="2">
        <v>1.081E-2</v>
      </c>
    </row>
    <row r="75" spans="1:7" x14ac:dyDescent="0.35">
      <c r="A75" s="1" t="s">
        <v>8</v>
      </c>
      <c r="B75" s="2">
        <v>5.5010999999999997E-2</v>
      </c>
      <c r="C75" s="2">
        <v>1.4430000000000001E-3</v>
      </c>
      <c r="D75" s="2">
        <v>5.7568000000000001E-2</v>
      </c>
      <c r="E75" s="2">
        <v>6.6540000000000002E-3</v>
      </c>
      <c r="F75" s="7">
        <v>4.1481999999999998E-2</v>
      </c>
      <c r="G75" s="2">
        <v>2.9982000000000002E-2</v>
      </c>
    </row>
    <row r="76" spans="1:7" x14ac:dyDescent="0.35">
      <c r="A76" s="1" t="s">
        <v>9</v>
      </c>
      <c r="B76" s="2">
        <v>0.113993</v>
      </c>
      <c r="C76" s="2">
        <v>2.9260000000000002E-3</v>
      </c>
      <c r="D76" s="2">
        <v>0.11867999999999999</v>
      </c>
      <c r="E76" s="2">
        <v>1.3043000000000001E-2</v>
      </c>
      <c r="F76" s="8">
        <v>0.11521199999999999</v>
      </c>
      <c r="G76" s="2">
        <v>5.8746E-2</v>
      </c>
    </row>
    <row r="77" spans="1:7" x14ac:dyDescent="0.35">
      <c r="A77" s="1" t="s">
        <v>10</v>
      </c>
      <c r="B77" s="2"/>
      <c r="C77" s="2">
        <v>4.0200000000000001E-3</v>
      </c>
      <c r="D77" s="2">
        <v>0.182363</v>
      </c>
      <c r="E77" s="2">
        <v>1.7035999999999999E-2</v>
      </c>
      <c r="F77" s="9">
        <v>0.155141</v>
      </c>
      <c r="G77" s="2">
        <v>7.6834E-2</v>
      </c>
    </row>
  </sheetData>
  <mergeCells count="5">
    <mergeCell ref="A2:D2"/>
    <mergeCell ref="F2:I2"/>
    <mergeCell ref="A1:I1"/>
    <mergeCell ref="A35:I35"/>
    <mergeCell ref="A36:D36"/>
  </mergeCells>
  <phoneticPr fontId="2" type="noConversion"/>
  <pageMargins left="0.7" right="0.7" top="0.78740157499999996" bottom="0.78740157499999996" header="0.3" footer="0.3"/>
  <pageSetup paperSize="9" orientation="portrait" horizontalDpi="360" verticalDpi="360" r:id="rId1"/>
  <drawing r:id="rId2"/>
  <tableParts count="4"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EBCCB8115044F4DBDFA9C6C5341E19C" ma:contentTypeVersion="10" ma:contentTypeDescription="Ein neues Dokument erstellen." ma:contentTypeScope="" ma:versionID="d3980d2ba98d165541a5d616e10085b5">
  <xsd:schema xmlns:xsd="http://www.w3.org/2001/XMLSchema" xmlns:xs="http://www.w3.org/2001/XMLSchema" xmlns:p="http://schemas.microsoft.com/office/2006/metadata/properties" xmlns:ns3="b67101b8-d0c5-4ad2-9844-013e072659b3" targetNamespace="http://schemas.microsoft.com/office/2006/metadata/properties" ma:root="true" ma:fieldsID="84d6a2155c2981996bf803d93dc26a7d" ns3:_="">
    <xsd:import namespace="b67101b8-d0c5-4ad2-9844-013e072659b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7101b8-d0c5-4ad2-9844-013e072659b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67101b8-d0c5-4ad2-9844-013e072659b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EA6CFB6-770E-466C-BCAA-D9861FAC59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7101b8-d0c5-4ad2-9844-013e072659b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F51CB62-213A-47CC-A51E-1B9BCE505172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b67101b8-d0c5-4ad2-9844-013e072659b3"/>
    <ds:schemaRef ds:uri="http://purl.org/dc/terms/"/>
    <ds:schemaRef ds:uri="http://purl.org/dc/elements/1.1/"/>
    <ds:schemaRef ds:uri="http://www.w3.org/XML/1998/namespace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D64ECFD4-17EC-4AD2-8AFC-C459C3C34CF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Lampert</dc:creator>
  <cp:lastModifiedBy>LAMPERT Mathias</cp:lastModifiedBy>
  <dcterms:created xsi:type="dcterms:W3CDTF">2025-05-28T08:54:11Z</dcterms:created>
  <dcterms:modified xsi:type="dcterms:W3CDTF">2025-06-11T13:03:43Z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0x010100CEBCCB8115044F4DBDFA9C6C5341E19C</vt:lpwstr>
  </property>
</Properties>
</file>