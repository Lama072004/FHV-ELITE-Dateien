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DieseArbeitsmappe"/>
  <mc:AlternateContent xmlns:mc="http://schemas.openxmlformats.org/markup-compatibility/2006">
    <mc:Choice Requires="x15">
      <x15ac:absPath xmlns:x15ac="http://schemas.microsoft.com/office/spreadsheetml/2010/11/ac" url="K:\Vorarlberg_Netz\NT_EAP\Transfer\LAMMA\Projekt\05_Wirtschaftlichkeitsanalyse\"/>
    </mc:Choice>
  </mc:AlternateContent>
  <xr:revisionPtr revIDLastSave="0" documentId="13_ncr:1_{8E83FDCB-B2D2-497B-BE20-FEB2427C6247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Eingaben" sheetId="1" r:id="rId1"/>
    <sheet name="Zeit- und Kostenersparnis" sheetId="2" r:id="rId2"/>
    <sheet name="Amortisation" sheetId="3" r:id="rId3"/>
    <sheet name="Kummulierte Einsparu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4" l="1"/>
  <c r="C31" i="4"/>
  <c r="B8" i="1"/>
  <c r="B2" i="2" s="1"/>
  <c r="B3" i="2" s="1"/>
  <c r="B4" i="2" s="1"/>
  <c r="B5" i="2" s="1"/>
  <c r="B3" i="3" s="1"/>
  <c r="B6" i="4" s="1"/>
  <c r="B4" i="1"/>
  <c r="B2" i="3" s="1"/>
  <c r="B4" i="3" l="1"/>
  <c r="B5" i="3" s="1"/>
  <c r="B29" i="4"/>
  <c r="B23" i="4"/>
  <c r="B17" i="4"/>
  <c r="B11" i="4"/>
  <c r="B3" i="4"/>
  <c r="B28" i="4"/>
  <c r="B22" i="4"/>
  <c r="B16" i="4"/>
  <c r="B10" i="4"/>
  <c r="B5" i="4"/>
  <c r="B2" i="4"/>
  <c r="C2" i="4" s="1"/>
  <c r="C3" i="4" s="1"/>
  <c r="B27" i="4"/>
  <c r="B21" i="4"/>
  <c r="B15" i="4"/>
  <c r="B9" i="4"/>
  <c r="B26" i="4"/>
  <c r="B20" i="4"/>
  <c r="B14" i="4"/>
  <c r="B8" i="4"/>
  <c r="B4" i="4"/>
  <c r="B25" i="4"/>
  <c r="B19" i="4"/>
  <c r="B13" i="4"/>
  <c r="B7" i="4"/>
  <c r="B30" i="4"/>
  <c r="B24" i="4"/>
  <c r="B18" i="4"/>
  <c r="B12" i="4"/>
  <c r="C4" i="4" l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</calcChain>
</file>

<file path=xl/sharedStrings.xml><?xml version="1.0" encoding="utf-8"?>
<sst xmlns="http://schemas.openxmlformats.org/spreadsheetml/2006/main" count="49" uniqueCount="36">
  <si>
    <t>Parameter</t>
  </si>
  <si>
    <t>Wert</t>
  </si>
  <si>
    <t>Einheit</t>
  </si>
  <si>
    <t>Entwicklungsstunden</t>
  </si>
  <si>
    <t>Stundensatz Entwickler</t>
  </si>
  <si>
    <t>Entwicklungskosten</t>
  </si>
  <si>
    <t>Arbeitswochen pro Jahr</t>
  </si>
  <si>
    <t>Stundensatz Mitarbeiter</t>
  </si>
  <si>
    <t>Stunden</t>
  </si>
  <si>
    <t>€/h</t>
  </si>
  <si>
    <t>€</t>
  </si>
  <si>
    <t>Minuten</t>
  </si>
  <si>
    <t>Anzahl</t>
  </si>
  <si>
    <t>Wochen</t>
  </si>
  <si>
    <t>Berechnung</t>
  </si>
  <si>
    <t>Ergebnis</t>
  </si>
  <si>
    <t>Zeitersparnis pro Vorgang (h)</t>
  </si>
  <si>
    <t>Zeitersparnis pro Woche</t>
  </si>
  <si>
    <t>Zeitersparnis pro Jahr</t>
  </si>
  <si>
    <t>Kosteneinsparung pro Jahr</t>
  </si>
  <si>
    <t>Kennzahl</t>
  </si>
  <si>
    <t>Einsparung pro Jahr</t>
  </si>
  <si>
    <t>Amortisationszeit (Jahre)</t>
  </si>
  <si>
    <t>Amortisationszeit (Monate)</t>
  </si>
  <si>
    <t>Jahre</t>
  </si>
  <si>
    <t>Monate</t>
  </si>
  <si>
    <t>Monat</t>
  </si>
  <si>
    <t>Einsparung</t>
  </si>
  <si>
    <t>Kummulierte Einsparung</t>
  </si>
  <si>
    <t>Zeitersparnis pro Dateipaar</t>
  </si>
  <si>
    <t>Dateipaare pro Woche</t>
  </si>
  <si>
    <t>je mehr Dateipaare dann größeres Zeitersparnis durch die Mehrfache Dateibearbeitung</t>
  </si>
  <si>
    <t>temporäre Schätzung</t>
  </si>
  <si>
    <t>Zeit je Dateipaar vorher</t>
  </si>
  <si>
    <t>Zeit je Dateipaar nachher</t>
  </si>
  <si>
    <t>Kommentar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</si>
</sst>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44" fontId="0" fillId="0" borderId="0" xfId="1" applyFont="1"/>
    <xf numFmtId="2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D11"/>
  <sheetViews>
    <sheetView tabSelected="1" workbookViewId="0">
      <selection activeCell="N10" sqref="N10:N11"/>
    </sheetView>
  </sheetViews>
  <sheetFormatPr baseColWidth="10" defaultColWidth="9.140625" defaultRowHeight="15" x14ac:dyDescent="0.25"/>
  <cols>
    <col min="1" max="1" width="28" bestFit="1" customWidth="1"/>
    <col min="2" max="2" width="17.7109375" customWidth="1"/>
    <col min="4" max="4" width="34.28515625" customWidth="1"/>
  </cols>
  <sheetData>
    <row r="1" spans="1:4" s="3" customFormat="1" ht="18" customHeight="1" x14ac:dyDescent="0.25">
      <c r="A1" s="3" t="s">
        <v>0</v>
      </c>
      <c r="B1" s="3" t="s">
        <v>1</v>
      </c>
      <c r="C1" s="3" t="s">
        <v>2</v>
      </c>
      <c r="D1" s="3" t="s">
        <v>35</v>
      </c>
    </row>
    <row r="2" spans="1:4" s="3" customFormat="1" ht="18" customHeight="1" x14ac:dyDescent="0.25">
      <c r="A2" s="3" t="s">
        <v>3</v>
      </c>
      <c r="B2" s="4">
        <v>220</v>
      </c>
      <c r="C2" s="3" t="s">
        <v>8</v>
      </c>
    </row>
    <row r="3" spans="1:4" s="3" customFormat="1" ht="18" customHeight="1" x14ac:dyDescent="0.25">
      <c r="A3" s="3" t="s">
        <v>4</v>
      </c>
      <c r="B3" s="4">
        <v>19</v>
      </c>
      <c r="C3" s="3" t="s">
        <v>9</v>
      </c>
    </row>
    <row r="4" spans="1:4" s="3" customFormat="1" ht="18" customHeight="1" x14ac:dyDescent="0.25">
      <c r="A4" s="3" t="s">
        <v>5</v>
      </c>
      <c r="B4" s="4">
        <f>B2*B3</f>
        <v>4180</v>
      </c>
      <c r="C4" s="3" t="s">
        <v>10</v>
      </c>
    </row>
    <row r="5" spans="1:4" s="3" customFormat="1" ht="28.5" customHeight="1" x14ac:dyDescent="0.25">
      <c r="B5" s="4"/>
    </row>
    <row r="6" spans="1:4" s="3" customFormat="1" ht="28.5" customHeight="1" x14ac:dyDescent="0.25">
      <c r="A6" s="3" t="s">
        <v>33</v>
      </c>
      <c r="B6" s="4">
        <v>4</v>
      </c>
      <c r="C6" s="3" t="s">
        <v>11</v>
      </c>
    </row>
    <row r="7" spans="1:4" s="3" customFormat="1" ht="28.5" customHeight="1" x14ac:dyDescent="0.25">
      <c r="A7" s="3" t="s">
        <v>34</v>
      </c>
      <c r="B7" s="4">
        <v>2.5000000000000001E-2</v>
      </c>
      <c r="C7" s="3" t="s">
        <v>11</v>
      </c>
      <c r="D7" s="3" t="s">
        <v>31</v>
      </c>
    </row>
    <row r="8" spans="1:4" s="3" customFormat="1" ht="28.5" customHeight="1" x14ac:dyDescent="0.25">
      <c r="A8" s="3" t="s">
        <v>29</v>
      </c>
      <c r="B8" s="4">
        <f>B6-B7</f>
        <v>3.9750000000000001</v>
      </c>
      <c r="C8" s="3" t="s">
        <v>11</v>
      </c>
    </row>
    <row r="9" spans="1:4" s="3" customFormat="1" ht="28.5" customHeight="1" x14ac:dyDescent="0.25">
      <c r="A9" s="3" t="s">
        <v>30</v>
      </c>
      <c r="B9" s="4">
        <v>20</v>
      </c>
      <c r="C9" s="3" t="s">
        <v>12</v>
      </c>
      <c r="D9" s="3" t="s">
        <v>32</v>
      </c>
    </row>
    <row r="10" spans="1:4" s="3" customFormat="1" ht="28.5" customHeight="1" x14ac:dyDescent="0.25">
      <c r="A10" s="3" t="s">
        <v>6</v>
      </c>
      <c r="B10" s="4">
        <v>44</v>
      </c>
      <c r="C10" s="3" t="s">
        <v>13</v>
      </c>
    </row>
    <row r="11" spans="1:4" s="3" customFormat="1" ht="28.5" customHeight="1" x14ac:dyDescent="0.25">
      <c r="A11" s="3" t="s">
        <v>7</v>
      </c>
      <c r="B11" s="4">
        <v>19</v>
      </c>
      <c r="C11" s="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C87E7-91AF-4D1E-B188-6F6D2AA22228}">
  <sheetPr codeName="Tabelle2"/>
  <dimension ref="A1:C5"/>
  <sheetViews>
    <sheetView workbookViewId="0">
      <selection activeCell="D7" sqref="D7"/>
    </sheetView>
  </sheetViews>
  <sheetFormatPr baseColWidth="10" defaultRowHeight="15" x14ac:dyDescent="0.25"/>
  <cols>
    <col min="1" max="1" width="26.5703125" customWidth="1"/>
    <col min="2" max="2" width="15.7109375" customWidth="1"/>
  </cols>
  <sheetData>
    <row r="1" spans="1:3" x14ac:dyDescent="0.25">
      <c r="A1" t="s">
        <v>14</v>
      </c>
      <c r="B1" t="s">
        <v>15</v>
      </c>
      <c r="C1" t="s">
        <v>2</v>
      </c>
    </row>
    <row r="2" spans="1:3" x14ac:dyDescent="0.25">
      <c r="A2" t="s">
        <v>16</v>
      </c>
      <c r="B2" s="2">
        <f>Eingaben!B8/60</f>
        <v>6.6250000000000003E-2</v>
      </c>
      <c r="C2" t="s">
        <v>8</v>
      </c>
    </row>
    <row r="3" spans="1:3" x14ac:dyDescent="0.25">
      <c r="A3" t="s">
        <v>17</v>
      </c>
      <c r="B3" s="2">
        <f>B2*Eingaben!B9</f>
        <v>1.3250000000000002</v>
      </c>
      <c r="C3" t="s">
        <v>8</v>
      </c>
    </row>
    <row r="4" spans="1:3" x14ac:dyDescent="0.25">
      <c r="A4" t="s">
        <v>18</v>
      </c>
      <c r="B4" s="2">
        <f>B3*Eingaben!B10</f>
        <v>58.300000000000011</v>
      </c>
      <c r="C4" t="s">
        <v>8</v>
      </c>
    </row>
    <row r="5" spans="1:3" x14ac:dyDescent="0.25">
      <c r="A5" t="s">
        <v>19</v>
      </c>
      <c r="B5" s="2">
        <f>B4*Eingaben!B11</f>
        <v>1107.7000000000003</v>
      </c>
      <c r="C5" t="s">
        <v>10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106DC-AA67-42DF-B5AD-5DC37055977D}">
  <sheetPr codeName="Tabelle3"/>
  <dimension ref="A1:C5"/>
  <sheetViews>
    <sheetView workbookViewId="0">
      <selection activeCell="D19" sqref="D19"/>
    </sheetView>
  </sheetViews>
  <sheetFormatPr baseColWidth="10" defaultRowHeight="15" x14ac:dyDescent="0.25"/>
  <cols>
    <col min="1" max="1" width="25.7109375" bestFit="1" customWidth="1"/>
    <col min="2" max="2" width="19.7109375" customWidth="1"/>
  </cols>
  <sheetData>
    <row r="1" spans="1:3" x14ac:dyDescent="0.25">
      <c r="A1" t="s">
        <v>20</v>
      </c>
      <c r="B1" t="s">
        <v>1</v>
      </c>
      <c r="C1" t="s">
        <v>2</v>
      </c>
    </row>
    <row r="2" spans="1:3" x14ac:dyDescent="0.25">
      <c r="A2" t="s">
        <v>5</v>
      </c>
      <c r="B2" s="2">
        <f>Eingaben!B4</f>
        <v>4180</v>
      </c>
      <c r="C2" t="s">
        <v>10</v>
      </c>
    </row>
    <row r="3" spans="1:3" x14ac:dyDescent="0.25">
      <c r="A3" t="s">
        <v>21</v>
      </c>
      <c r="B3" s="2">
        <f>'Zeit- und Kostenersparnis'!B5</f>
        <v>1107.7000000000003</v>
      </c>
      <c r="C3" t="s">
        <v>10</v>
      </c>
    </row>
    <row r="4" spans="1:3" x14ac:dyDescent="0.25">
      <c r="A4" t="s">
        <v>22</v>
      </c>
      <c r="B4" s="2">
        <f>B2/B3</f>
        <v>3.7735849056603765</v>
      </c>
      <c r="C4" t="s">
        <v>24</v>
      </c>
    </row>
    <row r="5" spans="1:3" x14ac:dyDescent="0.25">
      <c r="A5" t="s">
        <v>23</v>
      </c>
      <c r="B5" s="2">
        <f>B4*12</f>
        <v>45.283018867924518</v>
      </c>
      <c r="C5" t="s">
        <v>25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061C7-0D4A-44FA-85E5-E055DBEDC3F7}">
  <sheetPr codeName="Tabelle4"/>
  <dimension ref="A1:C31"/>
  <sheetViews>
    <sheetView workbookViewId="0">
      <selection activeCell="E30" sqref="E30"/>
    </sheetView>
  </sheetViews>
  <sheetFormatPr baseColWidth="10" defaultRowHeight="15" x14ac:dyDescent="0.25"/>
  <cols>
    <col min="2" max="2" width="18.5703125" customWidth="1"/>
    <col min="3" max="3" width="23.140625" bestFit="1" customWidth="1"/>
  </cols>
  <sheetData>
    <row r="1" spans="1:3" x14ac:dyDescent="0.25">
      <c r="A1" t="s">
        <v>26</v>
      </c>
      <c r="B1" t="s">
        <v>27</v>
      </c>
      <c r="C1" t="s">
        <v>28</v>
      </c>
    </row>
    <row r="2" spans="1:3" x14ac:dyDescent="0.25">
      <c r="A2">
        <v>1</v>
      </c>
      <c r="B2" s="1">
        <f>Amortisation!$B$3/12</f>
        <v>92.308333333333351</v>
      </c>
      <c r="C2" s="1">
        <f>B2</f>
        <v>92.308333333333351</v>
      </c>
    </row>
    <row r="3" spans="1:3" x14ac:dyDescent="0.25">
      <c r="A3">
        <v>2</v>
      </c>
      <c r="B3" s="1">
        <f>Amortisation!$B$3/12</f>
        <v>92.308333333333351</v>
      </c>
      <c r="C3" s="1">
        <f>C2+B3</f>
        <v>184.6166666666667</v>
      </c>
    </row>
    <row r="4" spans="1:3" x14ac:dyDescent="0.25">
      <c r="A4">
        <v>3</v>
      </c>
      <c r="B4" s="1">
        <f>Amortisation!$B$3/12</f>
        <v>92.308333333333351</v>
      </c>
      <c r="C4" s="1">
        <f t="shared" ref="C4:C30" si="0">C3+B4</f>
        <v>276.92500000000007</v>
      </c>
    </row>
    <row r="5" spans="1:3" x14ac:dyDescent="0.25">
      <c r="A5">
        <v>4</v>
      </c>
      <c r="B5" s="1">
        <f>Amortisation!$B$3/12</f>
        <v>92.308333333333351</v>
      </c>
      <c r="C5" s="1">
        <f t="shared" si="0"/>
        <v>369.23333333333341</v>
      </c>
    </row>
    <row r="6" spans="1:3" x14ac:dyDescent="0.25">
      <c r="A6">
        <v>5</v>
      </c>
      <c r="B6" s="1">
        <f>Amortisation!$B$3/12</f>
        <v>92.308333333333351</v>
      </c>
      <c r="C6" s="1">
        <f t="shared" si="0"/>
        <v>461.54166666666674</v>
      </c>
    </row>
    <row r="7" spans="1:3" x14ac:dyDescent="0.25">
      <c r="A7">
        <v>6</v>
      </c>
      <c r="B7" s="1">
        <f>Amortisation!$B$3/12</f>
        <v>92.308333333333351</v>
      </c>
      <c r="C7" s="1">
        <f t="shared" si="0"/>
        <v>553.85000000000014</v>
      </c>
    </row>
    <row r="8" spans="1:3" x14ac:dyDescent="0.25">
      <c r="A8">
        <v>7</v>
      </c>
      <c r="B8" s="1">
        <f>Amortisation!$B$3/12</f>
        <v>92.308333333333351</v>
      </c>
      <c r="C8" s="1">
        <f t="shared" si="0"/>
        <v>646.15833333333353</v>
      </c>
    </row>
    <row r="9" spans="1:3" x14ac:dyDescent="0.25">
      <c r="A9">
        <v>8</v>
      </c>
      <c r="B9" s="1">
        <f>Amortisation!$B$3/12</f>
        <v>92.308333333333351</v>
      </c>
      <c r="C9" s="1">
        <f t="shared" si="0"/>
        <v>738.46666666666692</v>
      </c>
    </row>
    <row r="10" spans="1:3" x14ac:dyDescent="0.25">
      <c r="A10">
        <v>9</v>
      </c>
      <c r="B10" s="1">
        <f>Amortisation!$B$3/12</f>
        <v>92.308333333333351</v>
      </c>
      <c r="C10" s="1">
        <f t="shared" si="0"/>
        <v>830.77500000000032</v>
      </c>
    </row>
    <row r="11" spans="1:3" x14ac:dyDescent="0.25">
      <c r="A11">
        <v>10</v>
      </c>
      <c r="B11" s="1">
        <f>Amortisation!$B$3/12</f>
        <v>92.308333333333351</v>
      </c>
      <c r="C11" s="1">
        <f t="shared" si="0"/>
        <v>923.08333333333371</v>
      </c>
    </row>
    <row r="12" spans="1:3" x14ac:dyDescent="0.25">
      <c r="A12">
        <v>11</v>
      </c>
      <c r="B12" s="1">
        <f>Amortisation!$B$3/12</f>
        <v>92.308333333333351</v>
      </c>
      <c r="C12" s="1">
        <f t="shared" si="0"/>
        <v>1015.3916666666671</v>
      </c>
    </row>
    <row r="13" spans="1:3" x14ac:dyDescent="0.25">
      <c r="A13">
        <v>12</v>
      </c>
      <c r="B13" s="1">
        <f>Amortisation!$B$3/12</f>
        <v>92.308333333333351</v>
      </c>
      <c r="C13" s="1">
        <f t="shared" si="0"/>
        <v>1107.7000000000005</v>
      </c>
    </row>
    <row r="14" spans="1:3" x14ac:dyDescent="0.25">
      <c r="A14">
        <v>13</v>
      </c>
      <c r="B14" s="1">
        <f>Amortisation!$B$3/12</f>
        <v>92.308333333333351</v>
      </c>
      <c r="C14" s="1">
        <f t="shared" si="0"/>
        <v>1200.0083333333339</v>
      </c>
    </row>
    <row r="15" spans="1:3" x14ac:dyDescent="0.25">
      <c r="A15">
        <v>14</v>
      </c>
      <c r="B15" s="1">
        <f>Amortisation!$B$3/12</f>
        <v>92.308333333333351</v>
      </c>
      <c r="C15" s="1">
        <f t="shared" si="0"/>
        <v>1292.3166666666673</v>
      </c>
    </row>
    <row r="16" spans="1:3" x14ac:dyDescent="0.25">
      <c r="A16">
        <v>15</v>
      </c>
      <c r="B16" s="1">
        <f>Amortisation!$B$3/12</f>
        <v>92.308333333333351</v>
      </c>
      <c r="C16" s="1">
        <f t="shared" si="0"/>
        <v>1384.6250000000007</v>
      </c>
    </row>
    <row r="17" spans="1:3" x14ac:dyDescent="0.25">
      <c r="A17">
        <v>16</v>
      </c>
      <c r="B17" s="1">
        <f>Amortisation!$B$3/12</f>
        <v>92.308333333333351</v>
      </c>
      <c r="C17" s="1">
        <f t="shared" si="0"/>
        <v>1476.9333333333341</v>
      </c>
    </row>
    <row r="18" spans="1:3" x14ac:dyDescent="0.25">
      <c r="A18">
        <v>17</v>
      </c>
      <c r="B18" s="1">
        <f>Amortisation!$B$3/12</f>
        <v>92.308333333333351</v>
      </c>
      <c r="C18" s="1">
        <f t="shared" si="0"/>
        <v>1569.2416666666675</v>
      </c>
    </row>
    <row r="19" spans="1:3" x14ac:dyDescent="0.25">
      <c r="A19">
        <v>18</v>
      </c>
      <c r="B19" s="1">
        <f>Amortisation!$B$3/12</f>
        <v>92.308333333333351</v>
      </c>
      <c r="C19" s="1">
        <f t="shared" si="0"/>
        <v>1661.5500000000009</v>
      </c>
    </row>
    <row r="20" spans="1:3" x14ac:dyDescent="0.25">
      <c r="A20">
        <v>19</v>
      </c>
      <c r="B20" s="1">
        <f>Amortisation!$B$3/12</f>
        <v>92.308333333333351</v>
      </c>
      <c r="C20" s="1">
        <f t="shared" si="0"/>
        <v>1753.8583333333343</v>
      </c>
    </row>
    <row r="21" spans="1:3" x14ac:dyDescent="0.25">
      <c r="A21">
        <v>20</v>
      </c>
      <c r="B21" s="1">
        <f>Amortisation!$B$3/12</f>
        <v>92.308333333333351</v>
      </c>
      <c r="C21" s="1">
        <f t="shared" si="0"/>
        <v>1846.1666666666677</v>
      </c>
    </row>
    <row r="22" spans="1:3" x14ac:dyDescent="0.25">
      <c r="A22">
        <v>21</v>
      </c>
      <c r="B22" s="1">
        <f>Amortisation!$B$3/12</f>
        <v>92.308333333333351</v>
      </c>
      <c r="C22" s="1">
        <f t="shared" si="0"/>
        <v>1938.475000000001</v>
      </c>
    </row>
    <row r="23" spans="1:3" x14ac:dyDescent="0.25">
      <c r="A23">
        <v>22</v>
      </c>
      <c r="B23" s="1">
        <f>Amortisation!$B$3/12</f>
        <v>92.308333333333351</v>
      </c>
      <c r="C23" s="1">
        <f t="shared" si="0"/>
        <v>2030.7833333333344</v>
      </c>
    </row>
    <row r="24" spans="1:3" x14ac:dyDescent="0.25">
      <c r="A24">
        <v>23</v>
      </c>
      <c r="B24" s="1">
        <f>Amortisation!$B$3/12</f>
        <v>92.308333333333351</v>
      </c>
      <c r="C24" s="1">
        <f t="shared" si="0"/>
        <v>2123.0916666666676</v>
      </c>
    </row>
    <row r="25" spans="1:3" x14ac:dyDescent="0.25">
      <c r="A25">
        <v>24</v>
      </c>
      <c r="B25" s="1">
        <f>Amortisation!$B$3/12</f>
        <v>92.308333333333351</v>
      </c>
      <c r="C25" s="1">
        <f t="shared" si="0"/>
        <v>2215.400000000001</v>
      </c>
    </row>
    <row r="26" spans="1:3" x14ac:dyDescent="0.25">
      <c r="A26">
        <v>25</v>
      </c>
      <c r="B26" s="1">
        <f>Amortisation!$B$3/12</f>
        <v>92.308333333333351</v>
      </c>
      <c r="C26" s="1">
        <f t="shared" si="0"/>
        <v>2307.7083333333344</v>
      </c>
    </row>
    <row r="27" spans="1:3" x14ac:dyDescent="0.25">
      <c r="A27">
        <v>26</v>
      </c>
      <c r="B27" s="1">
        <f>Amortisation!$B$3/12</f>
        <v>92.308333333333351</v>
      </c>
      <c r="C27" s="1">
        <f t="shared" si="0"/>
        <v>2400.0166666666678</v>
      </c>
    </row>
    <row r="28" spans="1:3" x14ac:dyDescent="0.25">
      <c r="A28">
        <v>27</v>
      </c>
      <c r="B28" s="1">
        <f>Amortisation!$B$3/12</f>
        <v>92.308333333333351</v>
      </c>
      <c r="C28" s="1">
        <f t="shared" si="0"/>
        <v>2492.3250000000012</v>
      </c>
    </row>
    <row r="29" spans="1:3" x14ac:dyDescent="0.25">
      <c r="A29">
        <v>28</v>
      </c>
      <c r="B29" s="1">
        <f>Amortisation!$B$3/12</f>
        <v>92.308333333333351</v>
      </c>
      <c r="C29" s="1">
        <f t="shared" si="0"/>
        <v>2584.6333333333346</v>
      </c>
    </row>
    <row r="30" spans="1:3" x14ac:dyDescent="0.25">
      <c r="A30">
        <v>29</v>
      </c>
      <c r="B30" s="1">
        <f>Amortisation!$B$3/12</f>
        <v>92.308333333333351</v>
      </c>
      <c r="C30" s="1">
        <f t="shared" si="0"/>
        <v>2676.941666666668</v>
      </c>
    </row>
    <row r="31" spans="1:3" x14ac:dyDescent="0.25">
      <c r="A31">
        <v>30</v>
      </c>
      <c r="B31" s="1">
        <f>Amortisation!$B$3/12</f>
        <v>92.308333333333351</v>
      </c>
      <c r="C31" s="1">
        <f t="shared" ref="C31" si="1">C30+B31</f>
        <v>2769.2500000000014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Eingaben</vt:lpstr>
      <vt:lpstr>Zeit- und Kostenersparnis</vt:lpstr>
      <vt:lpstr>Amortisation</vt:lpstr>
      <vt:lpstr>Kummulierte Einsparung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Lampert Mathias</dc:creator>
  <cp:lastModifiedBy>Lampert Mathias</cp:lastModifiedBy>
  <dcterms:created xsi:type="dcterms:W3CDTF">2015-06-05T18:19:34Z</dcterms:created>
  <dcterms:modified xsi:type="dcterms:W3CDTF">2026-03-18T15:23:15Z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0cdedd-d985-4b75-87b3-25b8340936b5_Enabled">
    <vt:lpwstr>true</vt:lpwstr>
  </property>
  <property fmtid="{D5CDD505-2E9C-101B-9397-08002B2CF9AE}" pid="3" name="MSIP_Label_d30cdedd-d985-4b75-87b3-25b8340936b5_SetDate">
    <vt:lpwstr>2026-03-11T11:02:47Z</vt:lpwstr>
  </property>
  <property fmtid="{D5CDD505-2E9C-101B-9397-08002B2CF9AE}" pid="4" name="MSIP_Label_d30cdedd-d985-4b75-87b3-25b8340936b5_Method">
    <vt:lpwstr>Privileged</vt:lpwstr>
  </property>
  <property fmtid="{D5CDD505-2E9C-101B-9397-08002B2CF9AE}" pid="5" name="MSIP_Label_d30cdedd-d985-4b75-87b3-25b8340936b5_Name">
    <vt:lpwstr>Intern</vt:lpwstr>
  </property>
  <property fmtid="{D5CDD505-2E9C-101B-9397-08002B2CF9AE}" pid="6" name="MSIP_Label_d30cdedd-d985-4b75-87b3-25b8340936b5_SiteId">
    <vt:lpwstr>63bc103c-82a4-474b-8f27-8d59f74a99e0</vt:lpwstr>
  </property>
  <property fmtid="{D5CDD505-2E9C-101B-9397-08002B2CF9AE}" pid="7" name="MSIP_Label_d30cdedd-d985-4b75-87b3-25b8340936b5_ActionId">
    <vt:lpwstr>795bc6fa-53aa-42db-ad01-af6398f42dc9</vt:lpwstr>
  </property>
  <property fmtid="{D5CDD505-2E9C-101B-9397-08002B2CF9AE}" pid="8" name="MSIP_Label_d30cdedd-d985-4b75-87b3-25b8340936b5_ContentBits">
    <vt:lpwstr>0</vt:lpwstr>
  </property>
  <property fmtid="{D5CDD505-2E9C-101B-9397-08002B2CF9AE}" pid="9" name="MSIP_Label_d30cdedd-d985-4b75-87b3-25b8340936b5_Tag">
    <vt:lpwstr>10, 0, 1, 1</vt:lpwstr>
  </property>
</Properties>
</file>